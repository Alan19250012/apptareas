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📖 Instrucciones" state="visible" r:id="rId4"/>
    <sheet sheetId="2" name="✅ Registro" state="visible" r:id="rId5"/>
    <sheet sheetId="3" name="⚙️ Aux" state="hidden" r:id="rId6"/>
    <sheet sheetId="4" name="📊 Estadísticas" state="visible" r:id="rId7"/>
    <sheet sheetId="5" name="🎯 Panel" state="visible" r:id="rId8"/>
    <sheet sheetId="6" name="📅 Agenda" state="visible" r:id="rId9"/>
  </sheets>
  <calcPr calcId="171027"/>
</workbook>
</file>

<file path=xl/sharedStrings.xml><?xml version="1.0" encoding="utf-8"?>
<sst xmlns="http://schemas.openxmlformats.org/spreadsheetml/2006/main" count="66" uniqueCount="53">
  <si>
    <t>🌱 Hábitat — Rastreador de Hábitos (Excel / Google Sheets)</t>
  </si>
  <si>
    <t>Cómo usar esta plantilla</t>
  </si>
  <si>
    <t/>
  </si>
  <si>
    <t>1) Hoja "✅ Registro": escribe una "x" (o cualquier texto) en la celda del hábito cada día que lo cumplas.</t>
  </si>
  <si>
    <t xml:space="preserve">   Los contadores de la derecha y los porcentajes se calculan solos.</t>
  </si>
  <si>
    <t>2) Cambia el nombre y el color de los hábitos en la fila 1 (cabecera). Borra la columna "➕ Nuevo hábito" si no la usas.</t>
  </si>
  <si>
    <t>3) Hoja "📊 Estadísticas": verás totales, % de cumplimiento, racha actual y mejor racha por hábito.</t>
  </si>
  <si>
    <t>4) Hoja "🎯 Panel": resumen visual con los indicadores clave.</t>
  </si>
  <si>
    <t>5) Hoja "📅 Agenda": calendario del mes actual (se pinta en verde los días con actividad) y una tabla de eventos.</t>
  </si>
  <si>
    <t>6) La hoja "⚙️ Aux" está oculta: contiene el cálculo de rachas. No la borres.</t>
  </si>
  <si>
    <t>💡 Consejo: abre esta plantilla en Google Sheets con Archivo → Importar o súbela a Drive y ábrela con Sheets.</t>
  </si>
  <si>
    <t xml:space="preserve">   En la app Hábitat (web/móvil) tienes además XP, niveles, heatmap y recordatorios, con exportación CSV/JSON.</t>
  </si>
  <si>
    <t>🔒 Todo se guarda en tu dispositivo. Comparte tu progreso con la exportación JSON.</t>
  </si>
  <si>
    <t>Fecha</t>
  </si>
  <si>
    <t>💧 Beber agua</t>
  </si>
  <si>
    <t>📚 Leer</t>
  </si>
  <si>
    <t>💪 Ejercicio</t>
  </si>
  <si>
    <t>🧘 Meditar</t>
  </si>
  <si>
    <t>😴 Dormir 8h</t>
  </si>
  <si>
    <t>➕ Nuevo hábito</t>
  </si>
  <si>
    <t>✔ Hechos</t>
  </si>
  <si>
    <t>% del día</t>
  </si>
  <si>
    <t>Métrica</t>
  </si>
  <si>
    <t>Total (año)</t>
  </si>
  <si>
    <t>Este mes</t>
  </si>
  <si>
    <t>Últimos 7 días</t>
  </si>
  <si>
    <t>% cumplimiento</t>
  </si>
  <si>
    <t>🔥 Racha actual</t>
  </si>
  <si>
    <t>🏆 Mejor racha</t>
  </si>
  <si>
    <t>🎯 Panel de Progreso — 2026</t>
  </si>
  <si>
    <t>✅ Hábitos completados hoy</t>
  </si>
  <si>
    <t>📈 % del día</t>
  </si>
  <si>
    <t>🔥 Racha actual (máxima)</t>
  </si>
  <si>
    <t>✔️ Total completados (año)</t>
  </si>
  <si>
    <t>📆 Días activos</t>
  </si>
  <si>
    <t>⭐ Nivel (aprox.)</t>
  </si>
  <si>
    <t>📊 Para ver el detalle por hábito consulta la hoja "Estadísticas". La racha se actualiza automáticamente según lo que marques en "Registro".</t>
  </si>
  <si>
    <t>📅 Calendario — Octubre 2026</t>
  </si>
  <si>
    <t>Lunes</t>
  </si>
  <si>
    <t>Martes</t>
  </si>
  <si>
    <t>Miércoles</t>
  </si>
  <si>
    <t>Jueves</t>
  </si>
  <si>
    <t>Viernes</t>
  </si>
  <si>
    <t>Sábado</t>
  </si>
  <si>
    <t>Domingo</t>
  </si>
  <si>
    <t>📌 Eventos</t>
  </si>
  <si>
    <t>Hora</t>
  </si>
  <si>
    <t>Título</t>
  </si>
  <si>
    <t>Nota</t>
  </si>
  <si>
    <t>09:00</t>
  </si>
  <si>
    <t>Revisión semanal</t>
  </si>
  <si>
    <t>18:30</t>
  </si>
  <si>
    <t>Entrenamiento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</si>
</sst>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1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  <color rgb="FF7C6CF0"/>
      <sz val="14"/>
    </font>
    <font>
      <color rgb="FF0E1116"/>
      <sz val="12"/>
    </font>
    <font>
      <color rgb="FF212835"/>
      <sz val="12"/>
    </font>
    <font>
      <b/>
      <color rgb="FFFFFFFF"/>
    </font>
    <font>
      <b/>
    </font>
    <font>
      <b/>
      <color rgb="FFFF9F43"/>
    </font>
    <font>
      <b/>
      <color rgb="FFFFFFFF"/>
      <sz val="18"/>
    </font>
    <font>
      <b/>
      <color rgb="FFEAF0F7"/>
      <sz val="12"/>
    </font>
    <font>
      <b/>
      <color rgb="FF7C6CF0"/>
      <sz val="18"/>
    </font>
    <font>
      <b/>
      <color rgb="FF4DA3FF"/>
      <sz val="18"/>
    </font>
    <font>
      <b/>
      <color rgb="FFFF9F43"/>
      <sz val="18"/>
    </font>
    <font>
      <b/>
      <color rgb="FFA06CF0"/>
      <sz val="18"/>
    </font>
    <font>
      <b/>
      <color rgb="FF2FD07A"/>
      <sz val="18"/>
    </font>
    <font>
      <b/>
      <color rgb="FF22C1C3"/>
      <sz val="18"/>
    </font>
    <font>
      <b/>
      <color rgb="FFFF5D9E"/>
      <sz val="18"/>
    </font>
    <font>
      <i/>
      <color rgb="FF9AA6B8"/>
      <sz val="11"/>
    </font>
    <font>
      <b/>
      <color rgb="FFFFFFFF"/>
      <sz val="16"/>
    </font>
    <font>
      <b/>
      <color rgb="FF9AA6B8"/>
    </font>
    <font>
      <b/>
      <color rgb="FF4DA3FF"/>
      <sz val="14"/>
    </font>
  </fonts>
  <fills count="11">
    <fill>
      <patternFill patternType="none"/>
    </fill>
    <fill>
      <patternFill patternType="gray125"/>
    </fill>
    <fill>
      <patternFill patternType="solid">
        <fgColor rgb="FF7C6CF0"/>
      </patternFill>
    </fill>
    <fill>
      <patternFill patternType="solid">
        <fgColor rgb="FF1A2029"/>
      </patternFill>
    </fill>
    <fill>
      <patternFill patternType="solid">
        <fgColor rgb="FF4DA3FF"/>
      </patternFill>
    </fill>
    <fill>
      <patternFill patternType="solid">
        <fgColor rgb="FF2FD07A"/>
      </patternFill>
    </fill>
    <fill>
      <patternFill patternType="solid">
        <fgColor rgb="FFA06CF0"/>
      </patternFill>
    </fill>
    <fill>
      <patternFill patternType="solid">
        <fgColor rgb="FF22C1C3"/>
      </patternFill>
    </fill>
    <fill>
      <patternFill patternType="solid">
        <fgColor rgb="FF5B6676"/>
      </patternFill>
    </fill>
    <fill>
      <patternFill patternType="solid">
        <fgColor rgb="FF212835"/>
      </patternFill>
    </fill>
    <fill>
      <patternFill patternType="solid">
        <fgColor rgb="FF1418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2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0" fillId="10" borderId="0" xfId="0" applyFill="1"/>
    <xf numFmtId="0" fontId="6" fillId="10" borderId="0" xfId="0" applyFont="1" applyFill="1"/>
    <xf numFmtId="0" fontId="0" fillId="10" borderId="0" xfId="0" applyFill="1" applyAlignment="1">
      <alignment horizontal="center"/>
    </xf>
    <xf numFmtId="0" fontId="6" fillId="0" borderId="0" xfId="0" applyFont="1"/>
    <xf numFmtId="0" fontId="7" fillId="10" borderId="0" xfId="0" applyFont="1" applyFill="1"/>
    <xf numFmtId="0" fontId="7" fillId="10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9" borderId="0" xfId="0" applyFont="1" applyFill="1"/>
    <xf numFmtId="0" fontId="10" fillId="9" borderId="0" xfId="0" applyFont="1" applyFill="1" applyAlignment="1">
      <alignment horizontal="center" vertical="center"/>
    </xf>
    <xf numFmtId="9" fontId="11" fillId="9" borderId="0" xfId="0" applyNumberFormat="1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7" fillId="0" borderId="0" xfId="0" applyFont="1"/>
    <xf numFmtId="0" fontId="18" fillId="4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0" fontId="20" fillId="0" borderId="0" xfId="0" applyFont="1"/>
  </cellXfs>
  <cellStyles count="1">
    <cellStyle name="Normal" xfId="0" builtinId="0"/>
  </cellStyles>
  <dxfs count="33">
    <dxf>
      <font>
        <b/>
        <color rgb="FF0C1A11"/>
      </font>
      <fill>
        <patternFill patternType="solid">
          <bgColor rgb="FF2FD07A"/>
        </patternFill>
      </fill>
    </dxf>
    <dxf>
      <fill>
        <patternFill patternType="solid">
          <bgColor rgb="FF3A2F6B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  <dxf>
      <font>
        <b/>
        <color rgb="FF0C1A11"/>
      </font>
      <fill>
        <patternFill patternType="solid">
          <bgColor rgb="FF2FD07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4" t="s">
        <v>4</v>
      </c>
    </row>
    <row r="6" spans="1:1" x14ac:dyDescent="0.25">
      <c r="A6" s="4" t="s">
        <v>5</v>
      </c>
    </row>
    <row r="7" spans="1:1" x14ac:dyDescent="0.25">
      <c r="A7" s="4" t="s">
        <v>6</v>
      </c>
    </row>
    <row r="8" spans="1:1" x14ac:dyDescent="0.25">
      <c r="A8" s="4" t="s">
        <v>7</v>
      </c>
    </row>
    <row r="9" spans="1:1" x14ac:dyDescent="0.25">
      <c r="A9" s="4" t="s">
        <v>8</v>
      </c>
    </row>
    <row r="10" spans="1:1" x14ac:dyDescent="0.25">
      <c r="A10" s="4" t="s">
        <v>9</v>
      </c>
    </row>
    <row r="11" spans="1:1" x14ac:dyDescent="0.25">
      <c r="A11" s="4" t="s">
        <v>2</v>
      </c>
    </row>
    <row r="12" spans="1:1" x14ac:dyDescent="0.25">
      <c r="A12" s="4" t="s">
        <v>10</v>
      </c>
    </row>
    <row r="13" spans="1:1" x14ac:dyDescent="0.25">
      <c r="A13" s="4" t="s">
        <v>11</v>
      </c>
    </row>
    <row r="14" spans="1:1" x14ac:dyDescent="0.25">
      <c r="A14" s="4" t="s">
        <v>2</v>
      </c>
    </row>
    <row r="15" spans="1:1" x14ac:dyDescent="0.25">
      <c r="A15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6CF0"/>
  </sheetPr>
  <dimension ref="A1:I36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7" width="13" customWidth="1"/>
    <col min="8" max="9" width="11" customWidth="1"/>
  </cols>
  <sheetData>
    <row r="1" ht="34" customHeight="1" spans="1:9" s="5" customFormat="1" x14ac:dyDescent="0.25">
      <c r="A1" s="6" t="s">
        <v>13</v>
      </c>
      <c r="B1" s="7" t="s">
        <v>14</v>
      </c>
      <c r="C1" s="8" t="s">
        <v>15</v>
      </c>
      <c r="D1" s="9" t="s">
        <v>16</v>
      </c>
      <c r="E1" s="10" t="s">
        <v>17</v>
      </c>
      <c r="F1" s="11" t="s">
        <v>18</v>
      </c>
      <c r="G1" s="12" t="s">
        <v>19</v>
      </c>
      <c r="H1" s="13" t="s">
        <v>20</v>
      </c>
      <c r="I1" s="13" t="s">
        <v>21</v>
      </c>
    </row>
    <row r="2" spans="1:9" x14ac:dyDescent="0.25">
      <c r="A2" s="14">
        <v>46023.25</v>
      </c>
      <c r="H2" s="15">
        <f>COUNTA(B2:G2)</f>
      </c>
      <c r="I2" s="16">
        <f>IFERROR(H2/COUNTA($B$1:$G$1),0)</f>
      </c>
    </row>
    <row r="3" spans="1:9" x14ac:dyDescent="0.25">
      <c r="A3" s="14">
        <v>46024.25</v>
      </c>
      <c r="H3" s="15">
        <f>COUNTA(B3:G3)</f>
      </c>
      <c r="I3" s="16">
        <f>IFERROR(H3/COUNTA($B$1:$G$1),0)</f>
      </c>
    </row>
    <row r="4" spans="1:9" x14ac:dyDescent="0.25">
      <c r="A4" s="14">
        <v>46025.25</v>
      </c>
      <c r="H4" s="15">
        <f>COUNTA(B4:G4)</f>
      </c>
      <c r="I4" s="16">
        <f>IFERROR(H4/COUNTA($B$1:$G$1),0)</f>
      </c>
    </row>
    <row r="5" spans="1:9" x14ac:dyDescent="0.25">
      <c r="A5" s="14">
        <v>46026.25</v>
      </c>
      <c r="H5" s="15">
        <f>COUNTA(B5:G5)</f>
      </c>
      <c r="I5" s="16">
        <f>IFERROR(H5/COUNTA($B$1:$G$1),0)</f>
      </c>
    </row>
    <row r="6" spans="1:9" x14ac:dyDescent="0.25">
      <c r="A6" s="14">
        <v>46027.25</v>
      </c>
      <c r="H6" s="15">
        <f>COUNTA(B6:G6)</f>
      </c>
      <c r="I6" s="16">
        <f>IFERROR(H6/COUNTA($B$1:$G$1),0)</f>
      </c>
    </row>
    <row r="7" spans="1:9" x14ac:dyDescent="0.25">
      <c r="A7" s="14">
        <v>46028.25</v>
      </c>
      <c r="H7" s="15">
        <f>COUNTA(B7:G7)</f>
      </c>
      <c r="I7" s="16">
        <f>IFERROR(H7/COUNTA($B$1:$G$1),0)</f>
      </c>
    </row>
    <row r="8" spans="1:9" x14ac:dyDescent="0.25">
      <c r="A8" s="14">
        <v>46029.25</v>
      </c>
      <c r="H8" s="15">
        <f>COUNTA(B8:G8)</f>
      </c>
      <c r="I8" s="16">
        <f>IFERROR(H8/COUNTA($B$1:$G$1),0)</f>
      </c>
    </row>
    <row r="9" spans="1:9" x14ac:dyDescent="0.25">
      <c r="A9" s="14">
        <v>46030.25</v>
      </c>
      <c r="H9" s="15">
        <f>COUNTA(B9:G9)</f>
      </c>
      <c r="I9" s="16">
        <f>IFERROR(H9/COUNTA($B$1:$G$1),0)</f>
      </c>
    </row>
    <row r="10" spans="1:9" x14ac:dyDescent="0.25">
      <c r="A10" s="14">
        <v>46031.25</v>
      </c>
      <c r="H10" s="15">
        <f>COUNTA(B10:G10)</f>
      </c>
      <c r="I10" s="16">
        <f>IFERROR(H10/COUNTA($B$1:$G$1),0)</f>
      </c>
    </row>
    <row r="11" spans="1:9" x14ac:dyDescent="0.25">
      <c r="A11" s="14">
        <v>46032.25</v>
      </c>
      <c r="H11" s="15">
        <f>COUNTA(B11:G11)</f>
      </c>
      <c r="I11" s="16">
        <f>IFERROR(H11/COUNTA($B$1:$G$1),0)</f>
      </c>
    </row>
    <row r="12" spans="1:9" x14ac:dyDescent="0.25">
      <c r="A12" s="14">
        <v>46033.25</v>
      </c>
      <c r="H12" s="15">
        <f>COUNTA(B12:G12)</f>
      </c>
      <c r="I12" s="16">
        <f>IFERROR(H12/COUNTA($B$1:$G$1),0)</f>
      </c>
    </row>
    <row r="13" spans="1:9" x14ac:dyDescent="0.25">
      <c r="A13" s="14">
        <v>46034.25</v>
      </c>
      <c r="H13" s="15">
        <f>COUNTA(B13:G13)</f>
      </c>
      <c r="I13" s="16">
        <f>IFERROR(H13/COUNTA($B$1:$G$1),0)</f>
      </c>
    </row>
    <row r="14" spans="1:9" x14ac:dyDescent="0.25">
      <c r="A14" s="14">
        <v>46035.25</v>
      </c>
      <c r="H14" s="15">
        <f>COUNTA(B14:G14)</f>
      </c>
      <c r="I14" s="16">
        <f>IFERROR(H14/COUNTA($B$1:$G$1),0)</f>
      </c>
    </row>
    <row r="15" spans="1:9" x14ac:dyDescent="0.25">
      <c r="A15" s="14">
        <v>46036.25</v>
      </c>
      <c r="H15" s="15">
        <f>COUNTA(B15:G15)</f>
      </c>
      <c r="I15" s="16">
        <f>IFERROR(H15/COUNTA($B$1:$G$1),0)</f>
      </c>
    </row>
    <row r="16" spans="1:9" x14ac:dyDescent="0.25">
      <c r="A16" s="14">
        <v>46037.25</v>
      </c>
      <c r="H16" s="15">
        <f>COUNTA(B16:G16)</f>
      </c>
      <c r="I16" s="16">
        <f>IFERROR(H16/COUNTA($B$1:$G$1),0)</f>
      </c>
    </row>
    <row r="17" spans="1:9" x14ac:dyDescent="0.25">
      <c r="A17" s="14">
        <v>46038.25</v>
      </c>
      <c r="H17" s="15">
        <f>COUNTA(B17:G17)</f>
      </c>
      <c r="I17" s="16">
        <f>IFERROR(H17/COUNTA($B$1:$G$1),0)</f>
      </c>
    </row>
    <row r="18" spans="1:9" x14ac:dyDescent="0.25">
      <c r="A18" s="14">
        <v>46039.25</v>
      </c>
      <c r="H18" s="15">
        <f>COUNTA(B18:G18)</f>
      </c>
      <c r="I18" s="16">
        <f>IFERROR(H18/COUNTA($B$1:$G$1),0)</f>
      </c>
    </row>
    <row r="19" spans="1:9" x14ac:dyDescent="0.25">
      <c r="A19" s="14">
        <v>46040.25</v>
      </c>
      <c r="H19" s="15">
        <f>COUNTA(B19:G19)</f>
      </c>
      <c r="I19" s="16">
        <f>IFERROR(H19/COUNTA($B$1:$G$1),0)</f>
      </c>
    </row>
    <row r="20" spans="1:9" x14ac:dyDescent="0.25">
      <c r="A20" s="14">
        <v>46041.25</v>
      </c>
      <c r="H20" s="15">
        <f>COUNTA(B20:G20)</f>
      </c>
      <c r="I20" s="16">
        <f>IFERROR(H20/COUNTA($B$1:$G$1),0)</f>
      </c>
    </row>
    <row r="21" spans="1:9" x14ac:dyDescent="0.25">
      <c r="A21" s="14">
        <v>46042.25</v>
      </c>
      <c r="H21" s="15">
        <f>COUNTA(B21:G21)</f>
      </c>
      <c r="I21" s="16">
        <f>IFERROR(H21/COUNTA($B$1:$G$1),0)</f>
      </c>
    </row>
    <row r="22" spans="1:9" x14ac:dyDescent="0.25">
      <c r="A22" s="14">
        <v>46043.25</v>
      </c>
      <c r="H22" s="15">
        <f>COUNTA(B22:G22)</f>
      </c>
      <c r="I22" s="16">
        <f>IFERROR(H22/COUNTA($B$1:$G$1),0)</f>
      </c>
    </row>
    <row r="23" spans="1:9" x14ac:dyDescent="0.25">
      <c r="A23" s="14">
        <v>46044.25</v>
      </c>
      <c r="H23" s="15">
        <f>COUNTA(B23:G23)</f>
      </c>
      <c r="I23" s="16">
        <f>IFERROR(H23/COUNTA($B$1:$G$1),0)</f>
      </c>
    </row>
    <row r="24" spans="1:9" x14ac:dyDescent="0.25">
      <c r="A24" s="14">
        <v>46045.25</v>
      </c>
      <c r="H24" s="15">
        <f>COUNTA(B24:G24)</f>
      </c>
      <c r="I24" s="16">
        <f>IFERROR(H24/COUNTA($B$1:$G$1),0)</f>
      </c>
    </row>
    <row r="25" spans="1:9" x14ac:dyDescent="0.25">
      <c r="A25" s="14">
        <v>46046.25</v>
      </c>
      <c r="H25" s="15">
        <f>COUNTA(B25:G25)</f>
      </c>
      <c r="I25" s="16">
        <f>IFERROR(H25/COUNTA($B$1:$G$1),0)</f>
      </c>
    </row>
    <row r="26" spans="1:9" x14ac:dyDescent="0.25">
      <c r="A26" s="14">
        <v>46047.25</v>
      </c>
      <c r="H26" s="15">
        <f>COUNTA(B26:G26)</f>
      </c>
      <c r="I26" s="16">
        <f>IFERROR(H26/COUNTA($B$1:$G$1),0)</f>
      </c>
    </row>
    <row r="27" spans="1:9" x14ac:dyDescent="0.25">
      <c r="A27" s="14">
        <v>46048.25</v>
      </c>
      <c r="H27" s="15">
        <f>COUNTA(B27:G27)</f>
      </c>
      <c r="I27" s="16">
        <f>IFERROR(H27/COUNTA($B$1:$G$1),0)</f>
      </c>
    </row>
    <row r="28" spans="1:9" x14ac:dyDescent="0.25">
      <c r="A28" s="14">
        <v>46049.25</v>
      </c>
      <c r="H28" s="15">
        <f>COUNTA(B28:G28)</f>
      </c>
      <c r="I28" s="16">
        <f>IFERROR(H28/COUNTA($B$1:$G$1),0)</f>
      </c>
    </row>
    <row r="29" spans="1:9" x14ac:dyDescent="0.25">
      <c r="A29" s="14">
        <v>46050.25</v>
      </c>
      <c r="H29" s="15">
        <f>COUNTA(B29:G29)</f>
      </c>
      <c r="I29" s="16">
        <f>IFERROR(H29/COUNTA($B$1:$G$1),0)</f>
      </c>
    </row>
    <row r="30" spans="1:9" x14ac:dyDescent="0.25">
      <c r="A30" s="14">
        <v>46051.25</v>
      </c>
      <c r="H30" s="15">
        <f>COUNTA(B30:G30)</f>
      </c>
      <c r="I30" s="16">
        <f>IFERROR(H30/COUNTA($B$1:$G$1),0)</f>
      </c>
    </row>
    <row r="31" spans="1:9" x14ac:dyDescent="0.25">
      <c r="A31" s="14">
        <v>46052.25</v>
      </c>
      <c r="H31" s="15">
        <f>COUNTA(B31:G31)</f>
      </c>
      <c r="I31" s="16">
        <f>IFERROR(H31/COUNTA($B$1:$G$1),0)</f>
      </c>
    </row>
    <row r="32" spans="1:9" x14ac:dyDescent="0.25">
      <c r="A32" s="14">
        <v>46053.25</v>
      </c>
      <c r="H32" s="15">
        <f>COUNTA(B32:G32)</f>
      </c>
      <c r="I32" s="16">
        <f>IFERROR(H32/COUNTA($B$1:$G$1),0)</f>
      </c>
    </row>
    <row r="33" spans="1:9" x14ac:dyDescent="0.25">
      <c r="A33" s="14">
        <v>46054.25</v>
      </c>
      <c r="H33" s="15">
        <f>COUNTA(B33:G33)</f>
      </c>
      <c r="I33" s="16">
        <f>IFERROR(H33/COUNTA($B$1:$G$1),0)</f>
      </c>
    </row>
    <row r="34" spans="1:9" x14ac:dyDescent="0.25">
      <c r="A34" s="14">
        <v>46055.25</v>
      </c>
      <c r="H34" s="15">
        <f>COUNTA(B34:G34)</f>
      </c>
      <c r="I34" s="16">
        <f>IFERROR(H34/COUNTA($B$1:$G$1),0)</f>
      </c>
    </row>
    <row r="35" spans="1:9" x14ac:dyDescent="0.25">
      <c r="A35" s="14">
        <v>46056.25</v>
      </c>
      <c r="H35" s="15">
        <f>COUNTA(B35:G35)</f>
      </c>
      <c r="I35" s="16">
        <f>IFERROR(H35/COUNTA($B$1:$G$1),0)</f>
      </c>
    </row>
    <row r="36" spans="1:9" x14ac:dyDescent="0.25">
      <c r="A36" s="14">
        <v>46057.25</v>
      </c>
      <c r="H36" s="15">
        <f>COUNTA(B36:G36)</f>
      </c>
      <c r="I36" s="16">
        <f>IFERROR(H36/COUNTA($B$1:$G$1),0)</f>
      </c>
    </row>
    <row r="37" spans="1:9" x14ac:dyDescent="0.25">
      <c r="A37" s="14">
        <v>46058.25</v>
      </c>
      <c r="H37" s="15">
        <f>COUNTA(B37:G37)</f>
      </c>
      <c r="I37" s="16">
        <f>IFERROR(H37/COUNTA($B$1:$G$1),0)</f>
      </c>
    </row>
    <row r="38" spans="1:9" x14ac:dyDescent="0.25">
      <c r="A38" s="14">
        <v>46059.25</v>
      </c>
      <c r="H38" s="15">
        <f>COUNTA(B38:G38)</f>
      </c>
      <c r="I38" s="16">
        <f>IFERROR(H38/COUNTA($B$1:$G$1),0)</f>
      </c>
    </row>
    <row r="39" spans="1:9" x14ac:dyDescent="0.25">
      <c r="A39" s="14">
        <v>46060.25</v>
      </c>
      <c r="H39" s="15">
        <f>COUNTA(B39:G39)</f>
      </c>
      <c r="I39" s="16">
        <f>IFERROR(H39/COUNTA($B$1:$G$1),0)</f>
      </c>
    </row>
    <row r="40" spans="1:9" x14ac:dyDescent="0.25">
      <c r="A40" s="14">
        <v>46061.25</v>
      </c>
      <c r="H40" s="15">
        <f>COUNTA(B40:G40)</f>
      </c>
      <c r="I40" s="16">
        <f>IFERROR(H40/COUNTA($B$1:$G$1),0)</f>
      </c>
    </row>
    <row r="41" spans="1:9" x14ac:dyDescent="0.25">
      <c r="A41" s="14">
        <v>46062.25</v>
      </c>
      <c r="H41" s="15">
        <f>COUNTA(B41:G41)</f>
      </c>
      <c r="I41" s="16">
        <f>IFERROR(H41/COUNTA($B$1:$G$1),0)</f>
      </c>
    </row>
    <row r="42" spans="1:9" x14ac:dyDescent="0.25">
      <c r="A42" s="14">
        <v>46063.25</v>
      </c>
      <c r="H42" s="15">
        <f>COUNTA(B42:G42)</f>
      </c>
      <c r="I42" s="16">
        <f>IFERROR(H42/COUNTA($B$1:$G$1),0)</f>
      </c>
    </row>
    <row r="43" spans="1:9" x14ac:dyDescent="0.25">
      <c r="A43" s="14">
        <v>46064.25</v>
      </c>
      <c r="H43" s="15">
        <f>COUNTA(B43:G43)</f>
      </c>
      <c r="I43" s="16">
        <f>IFERROR(H43/COUNTA($B$1:$G$1),0)</f>
      </c>
    </row>
    <row r="44" spans="1:9" x14ac:dyDescent="0.25">
      <c r="A44" s="14">
        <v>46065.25</v>
      </c>
      <c r="H44" s="15">
        <f>COUNTA(B44:G44)</f>
      </c>
      <c r="I44" s="16">
        <f>IFERROR(H44/COUNTA($B$1:$G$1),0)</f>
      </c>
    </row>
    <row r="45" spans="1:9" x14ac:dyDescent="0.25">
      <c r="A45" s="14">
        <v>46066.25</v>
      </c>
      <c r="H45" s="15">
        <f>COUNTA(B45:G45)</f>
      </c>
      <c r="I45" s="16">
        <f>IFERROR(H45/COUNTA($B$1:$G$1),0)</f>
      </c>
    </row>
    <row r="46" spans="1:9" x14ac:dyDescent="0.25">
      <c r="A46" s="14">
        <v>46067.25</v>
      </c>
      <c r="H46" s="15">
        <f>COUNTA(B46:G46)</f>
      </c>
      <c r="I46" s="16">
        <f>IFERROR(H46/COUNTA($B$1:$G$1),0)</f>
      </c>
    </row>
    <row r="47" spans="1:9" x14ac:dyDescent="0.25">
      <c r="A47" s="14">
        <v>46068.25</v>
      </c>
      <c r="H47" s="15">
        <f>COUNTA(B47:G47)</f>
      </c>
      <c r="I47" s="16">
        <f>IFERROR(H47/COUNTA($B$1:$G$1),0)</f>
      </c>
    </row>
    <row r="48" spans="1:9" x14ac:dyDescent="0.25">
      <c r="A48" s="14">
        <v>46069.25</v>
      </c>
      <c r="H48" s="15">
        <f>COUNTA(B48:G48)</f>
      </c>
      <c r="I48" s="16">
        <f>IFERROR(H48/COUNTA($B$1:$G$1),0)</f>
      </c>
    </row>
    <row r="49" spans="1:9" x14ac:dyDescent="0.25">
      <c r="A49" s="14">
        <v>46070.25</v>
      </c>
      <c r="H49" s="15">
        <f>COUNTA(B49:G49)</f>
      </c>
      <c r="I49" s="16">
        <f>IFERROR(H49/COUNTA($B$1:$G$1),0)</f>
      </c>
    </row>
    <row r="50" spans="1:9" x14ac:dyDescent="0.25">
      <c r="A50" s="14">
        <v>46071.25</v>
      </c>
      <c r="H50" s="15">
        <f>COUNTA(B50:G50)</f>
      </c>
      <c r="I50" s="16">
        <f>IFERROR(H50/COUNTA($B$1:$G$1),0)</f>
      </c>
    </row>
    <row r="51" spans="1:9" x14ac:dyDescent="0.25">
      <c r="A51" s="14">
        <v>46072.25</v>
      </c>
      <c r="H51" s="15">
        <f>COUNTA(B51:G51)</f>
      </c>
      <c r="I51" s="16">
        <f>IFERROR(H51/COUNTA($B$1:$G$1),0)</f>
      </c>
    </row>
    <row r="52" spans="1:9" x14ac:dyDescent="0.25">
      <c r="A52" s="14">
        <v>46073.25</v>
      </c>
      <c r="H52" s="15">
        <f>COUNTA(B52:G52)</f>
      </c>
      <c r="I52" s="16">
        <f>IFERROR(H52/COUNTA($B$1:$G$1),0)</f>
      </c>
    </row>
    <row r="53" spans="1:9" x14ac:dyDescent="0.25">
      <c r="A53" s="14">
        <v>46074.25</v>
      </c>
      <c r="H53" s="15">
        <f>COUNTA(B53:G53)</f>
      </c>
      <c r="I53" s="16">
        <f>IFERROR(H53/COUNTA($B$1:$G$1),0)</f>
      </c>
    </row>
    <row r="54" spans="1:9" x14ac:dyDescent="0.25">
      <c r="A54" s="14">
        <v>46075.25</v>
      </c>
      <c r="H54" s="15">
        <f>COUNTA(B54:G54)</f>
      </c>
      <c r="I54" s="16">
        <f>IFERROR(H54/COUNTA($B$1:$G$1),0)</f>
      </c>
    </row>
    <row r="55" spans="1:9" x14ac:dyDescent="0.25">
      <c r="A55" s="14">
        <v>46076.25</v>
      </c>
      <c r="H55" s="15">
        <f>COUNTA(B55:G55)</f>
      </c>
      <c r="I55" s="16">
        <f>IFERROR(H55/COUNTA($B$1:$G$1),0)</f>
      </c>
    </row>
    <row r="56" spans="1:9" x14ac:dyDescent="0.25">
      <c r="A56" s="14">
        <v>46077.25</v>
      </c>
      <c r="H56" s="15">
        <f>COUNTA(B56:G56)</f>
      </c>
      <c r="I56" s="16">
        <f>IFERROR(H56/COUNTA($B$1:$G$1),0)</f>
      </c>
    </row>
    <row r="57" spans="1:9" x14ac:dyDescent="0.25">
      <c r="A57" s="14">
        <v>46078.25</v>
      </c>
      <c r="H57" s="15">
        <f>COUNTA(B57:G57)</f>
      </c>
      <c r="I57" s="16">
        <f>IFERROR(H57/COUNTA($B$1:$G$1),0)</f>
      </c>
    </row>
    <row r="58" spans="1:9" x14ac:dyDescent="0.25">
      <c r="A58" s="14">
        <v>46079.25</v>
      </c>
      <c r="H58" s="15">
        <f>COUNTA(B58:G58)</f>
      </c>
      <c r="I58" s="16">
        <f>IFERROR(H58/COUNTA($B$1:$G$1),0)</f>
      </c>
    </row>
    <row r="59" spans="1:9" x14ac:dyDescent="0.25">
      <c r="A59" s="14">
        <v>46080.25</v>
      </c>
      <c r="H59" s="15">
        <f>COUNTA(B59:G59)</f>
      </c>
      <c r="I59" s="16">
        <f>IFERROR(H59/COUNTA($B$1:$G$1),0)</f>
      </c>
    </row>
    <row r="60" spans="1:9" x14ac:dyDescent="0.25">
      <c r="A60" s="14">
        <v>46081.25</v>
      </c>
      <c r="H60" s="15">
        <f>COUNTA(B60:G60)</f>
      </c>
      <c r="I60" s="16">
        <f>IFERROR(H60/COUNTA($B$1:$G$1),0)</f>
      </c>
    </row>
    <row r="61" spans="1:9" x14ac:dyDescent="0.25">
      <c r="A61" s="14">
        <v>46082.25</v>
      </c>
      <c r="H61" s="15">
        <f>COUNTA(B61:G61)</f>
      </c>
      <c r="I61" s="16">
        <f>IFERROR(H61/COUNTA($B$1:$G$1),0)</f>
      </c>
    </row>
    <row r="62" spans="1:9" x14ac:dyDescent="0.25">
      <c r="A62" s="14">
        <v>46083.25</v>
      </c>
      <c r="H62" s="15">
        <f>COUNTA(B62:G62)</f>
      </c>
      <c r="I62" s="16">
        <f>IFERROR(H62/COUNTA($B$1:$G$1),0)</f>
      </c>
    </row>
    <row r="63" spans="1:9" x14ac:dyDescent="0.25">
      <c r="A63" s="14">
        <v>46084.25</v>
      </c>
      <c r="H63" s="15">
        <f>COUNTA(B63:G63)</f>
      </c>
      <c r="I63" s="16">
        <f>IFERROR(H63/COUNTA($B$1:$G$1),0)</f>
      </c>
    </row>
    <row r="64" spans="1:9" x14ac:dyDescent="0.25">
      <c r="A64" s="14">
        <v>46085.25</v>
      </c>
      <c r="H64" s="15">
        <f>COUNTA(B64:G64)</f>
      </c>
      <c r="I64" s="16">
        <f>IFERROR(H64/COUNTA($B$1:$G$1),0)</f>
      </c>
    </row>
    <row r="65" spans="1:9" x14ac:dyDescent="0.25">
      <c r="A65" s="14">
        <v>46086.25</v>
      </c>
      <c r="H65" s="15">
        <f>COUNTA(B65:G65)</f>
      </c>
      <c r="I65" s="16">
        <f>IFERROR(H65/COUNTA($B$1:$G$1),0)</f>
      </c>
    </row>
    <row r="66" spans="1:9" x14ac:dyDescent="0.25">
      <c r="A66" s="14">
        <v>46087.25</v>
      </c>
      <c r="H66" s="15">
        <f>COUNTA(B66:G66)</f>
      </c>
      <c r="I66" s="16">
        <f>IFERROR(H66/COUNTA($B$1:$G$1),0)</f>
      </c>
    </row>
    <row r="67" spans="1:9" x14ac:dyDescent="0.25">
      <c r="A67" s="14">
        <v>46088.25</v>
      </c>
      <c r="H67" s="15">
        <f>COUNTA(B67:G67)</f>
      </c>
      <c r="I67" s="16">
        <f>IFERROR(H67/COUNTA($B$1:$G$1),0)</f>
      </c>
    </row>
    <row r="68" spans="1:9" x14ac:dyDescent="0.25">
      <c r="A68" s="14">
        <v>46089.25</v>
      </c>
      <c r="H68" s="15">
        <f>COUNTA(B68:G68)</f>
      </c>
      <c r="I68" s="16">
        <f>IFERROR(H68/COUNTA($B$1:$G$1),0)</f>
      </c>
    </row>
    <row r="69" spans="1:9" x14ac:dyDescent="0.25">
      <c r="A69" s="14">
        <v>46090.25</v>
      </c>
      <c r="H69" s="15">
        <f>COUNTA(B69:G69)</f>
      </c>
      <c r="I69" s="16">
        <f>IFERROR(H69/COUNTA($B$1:$G$1),0)</f>
      </c>
    </row>
    <row r="70" spans="1:9" x14ac:dyDescent="0.25">
      <c r="A70" s="14">
        <v>46091.25</v>
      </c>
      <c r="H70" s="15">
        <f>COUNTA(B70:G70)</f>
      </c>
      <c r="I70" s="16">
        <f>IFERROR(H70/COUNTA($B$1:$G$1),0)</f>
      </c>
    </row>
    <row r="71" spans="1:9" x14ac:dyDescent="0.25">
      <c r="A71" s="14">
        <v>46092.25</v>
      </c>
      <c r="H71" s="15">
        <f>COUNTA(B71:G71)</f>
      </c>
      <c r="I71" s="16">
        <f>IFERROR(H71/COUNTA($B$1:$G$1),0)</f>
      </c>
    </row>
    <row r="72" spans="1:9" x14ac:dyDescent="0.25">
      <c r="A72" s="14">
        <v>46093.25</v>
      </c>
      <c r="H72" s="15">
        <f>COUNTA(B72:G72)</f>
      </c>
      <c r="I72" s="16">
        <f>IFERROR(H72/COUNTA($B$1:$G$1),0)</f>
      </c>
    </row>
    <row r="73" spans="1:9" x14ac:dyDescent="0.25">
      <c r="A73" s="14">
        <v>46094.25</v>
      </c>
      <c r="H73" s="15">
        <f>COUNTA(B73:G73)</f>
      </c>
      <c r="I73" s="16">
        <f>IFERROR(H73/COUNTA($B$1:$G$1),0)</f>
      </c>
    </row>
    <row r="74" spans="1:9" x14ac:dyDescent="0.25">
      <c r="A74" s="14">
        <v>46095.25</v>
      </c>
      <c r="H74" s="15">
        <f>COUNTA(B74:G74)</f>
      </c>
      <c r="I74" s="16">
        <f>IFERROR(H74/COUNTA($B$1:$G$1),0)</f>
      </c>
    </row>
    <row r="75" spans="1:9" x14ac:dyDescent="0.25">
      <c r="A75" s="14">
        <v>46096.25</v>
      </c>
      <c r="H75" s="15">
        <f>COUNTA(B75:G75)</f>
      </c>
      <c r="I75" s="16">
        <f>IFERROR(H75/COUNTA($B$1:$G$1),0)</f>
      </c>
    </row>
    <row r="76" spans="1:9" x14ac:dyDescent="0.25">
      <c r="A76" s="14">
        <v>46097.25</v>
      </c>
      <c r="H76" s="15">
        <f>COUNTA(B76:G76)</f>
      </c>
      <c r="I76" s="16">
        <f>IFERROR(H76/COUNTA($B$1:$G$1),0)</f>
      </c>
    </row>
    <row r="77" spans="1:9" x14ac:dyDescent="0.25">
      <c r="A77" s="14">
        <v>46098.25</v>
      </c>
      <c r="H77" s="15">
        <f>COUNTA(B77:G77)</f>
      </c>
      <c r="I77" s="16">
        <f>IFERROR(H77/COUNTA($B$1:$G$1),0)</f>
      </c>
    </row>
    <row r="78" spans="1:9" x14ac:dyDescent="0.25">
      <c r="A78" s="14">
        <v>46099.25</v>
      </c>
      <c r="H78" s="15">
        <f>COUNTA(B78:G78)</f>
      </c>
      <c r="I78" s="16">
        <f>IFERROR(H78/COUNTA($B$1:$G$1),0)</f>
      </c>
    </row>
    <row r="79" spans="1:9" x14ac:dyDescent="0.25">
      <c r="A79" s="14">
        <v>46100.25</v>
      </c>
      <c r="H79" s="15">
        <f>COUNTA(B79:G79)</f>
      </c>
      <c r="I79" s="16">
        <f>IFERROR(H79/COUNTA($B$1:$G$1),0)</f>
      </c>
    </row>
    <row r="80" spans="1:9" x14ac:dyDescent="0.25">
      <c r="A80" s="14">
        <v>46101.25</v>
      </c>
      <c r="H80" s="15">
        <f>COUNTA(B80:G80)</f>
      </c>
      <c r="I80" s="16">
        <f>IFERROR(H80/COUNTA($B$1:$G$1),0)</f>
      </c>
    </row>
    <row r="81" spans="1:9" x14ac:dyDescent="0.25">
      <c r="A81" s="14">
        <v>46102.25</v>
      </c>
      <c r="H81" s="15">
        <f>COUNTA(B81:G81)</f>
      </c>
      <c r="I81" s="16">
        <f>IFERROR(H81/COUNTA($B$1:$G$1),0)</f>
      </c>
    </row>
    <row r="82" spans="1:9" x14ac:dyDescent="0.25">
      <c r="A82" s="14">
        <v>46103.25</v>
      </c>
      <c r="H82" s="15">
        <f>COUNTA(B82:G82)</f>
      </c>
      <c r="I82" s="16">
        <f>IFERROR(H82/COUNTA($B$1:$G$1),0)</f>
      </c>
    </row>
    <row r="83" spans="1:9" x14ac:dyDescent="0.25">
      <c r="A83" s="14">
        <v>46104.25</v>
      </c>
      <c r="H83" s="15">
        <f>COUNTA(B83:G83)</f>
      </c>
      <c r="I83" s="16">
        <f>IFERROR(H83/COUNTA($B$1:$G$1),0)</f>
      </c>
    </row>
    <row r="84" spans="1:9" x14ac:dyDescent="0.25">
      <c r="A84" s="14">
        <v>46105.25</v>
      </c>
      <c r="H84" s="15">
        <f>COUNTA(B84:G84)</f>
      </c>
      <c r="I84" s="16">
        <f>IFERROR(H84/COUNTA($B$1:$G$1),0)</f>
      </c>
    </row>
    <row r="85" spans="1:9" x14ac:dyDescent="0.25">
      <c r="A85" s="14">
        <v>46106.25</v>
      </c>
      <c r="H85" s="15">
        <f>COUNTA(B85:G85)</f>
      </c>
      <c r="I85" s="16">
        <f>IFERROR(H85/COUNTA($B$1:$G$1),0)</f>
      </c>
    </row>
    <row r="86" spans="1:9" x14ac:dyDescent="0.25">
      <c r="A86" s="14">
        <v>46107.25</v>
      </c>
      <c r="H86" s="15">
        <f>COUNTA(B86:G86)</f>
      </c>
      <c r="I86" s="16">
        <f>IFERROR(H86/COUNTA($B$1:$G$1),0)</f>
      </c>
    </row>
    <row r="87" spans="1:9" x14ac:dyDescent="0.25">
      <c r="A87" s="14">
        <v>46108.25</v>
      </c>
      <c r="H87" s="15">
        <f>COUNTA(B87:G87)</f>
      </c>
      <c r="I87" s="16">
        <f>IFERROR(H87/COUNTA($B$1:$G$1),0)</f>
      </c>
    </row>
    <row r="88" spans="1:9" x14ac:dyDescent="0.25">
      <c r="A88" s="14">
        <v>46109.25</v>
      </c>
      <c r="H88" s="15">
        <f>COUNTA(B88:G88)</f>
      </c>
      <c r="I88" s="16">
        <f>IFERROR(H88/COUNTA($B$1:$G$1),0)</f>
      </c>
    </row>
    <row r="89" spans="1:9" x14ac:dyDescent="0.25">
      <c r="A89" s="14">
        <v>46110.25</v>
      </c>
      <c r="H89" s="15">
        <f>COUNTA(B89:G89)</f>
      </c>
      <c r="I89" s="16">
        <f>IFERROR(H89/COUNTA($B$1:$G$1),0)</f>
      </c>
    </row>
    <row r="90" spans="1:9" x14ac:dyDescent="0.25">
      <c r="A90" s="14">
        <v>46111.25</v>
      </c>
      <c r="H90" s="15">
        <f>COUNTA(B90:G90)</f>
      </c>
      <c r="I90" s="16">
        <f>IFERROR(H90/COUNTA($B$1:$G$1),0)</f>
      </c>
    </row>
    <row r="91" spans="1:9" x14ac:dyDescent="0.25">
      <c r="A91" s="14">
        <v>46112.25</v>
      </c>
      <c r="H91" s="15">
        <f>COUNTA(B91:G91)</f>
      </c>
      <c r="I91" s="16">
        <f>IFERROR(H91/COUNTA($B$1:$G$1),0)</f>
      </c>
    </row>
    <row r="92" spans="1:9" x14ac:dyDescent="0.25">
      <c r="A92" s="14">
        <v>46113.25</v>
      </c>
      <c r="H92" s="15">
        <f>COUNTA(B92:G92)</f>
      </c>
      <c r="I92" s="16">
        <f>IFERROR(H92/COUNTA($B$1:$G$1),0)</f>
      </c>
    </row>
    <row r="93" spans="1:9" x14ac:dyDescent="0.25">
      <c r="A93" s="14">
        <v>46114.25</v>
      </c>
      <c r="H93" s="15">
        <f>COUNTA(B93:G93)</f>
      </c>
      <c r="I93" s="16">
        <f>IFERROR(H93/COUNTA($B$1:$G$1),0)</f>
      </c>
    </row>
    <row r="94" spans="1:9" x14ac:dyDescent="0.25">
      <c r="A94" s="14">
        <v>46115.25</v>
      </c>
      <c r="H94" s="15">
        <f>COUNTA(B94:G94)</f>
      </c>
      <c r="I94" s="16">
        <f>IFERROR(H94/COUNTA($B$1:$G$1),0)</f>
      </c>
    </row>
    <row r="95" spans="1:9" x14ac:dyDescent="0.25">
      <c r="A95" s="14">
        <v>46116.25</v>
      </c>
      <c r="H95" s="15">
        <f>COUNTA(B95:G95)</f>
      </c>
      <c r="I95" s="16">
        <f>IFERROR(H95/COUNTA($B$1:$G$1),0)</f>
      </c>
    </row>
    <row r="96" spans="1:9" x14ac:dyDescent="0.25">
      <c r="A96" s="14">
        <v>46117.25</v>
      </c>
      <c r="H96" s="15">
        <f>COUNTA(B96:G96)</f>
      </c>
      <c r="I96" s="16">
        <f>IFERROR(H96/COUNTA($B$1:$G$1),0)</f>
      </c>
    </row>
    <row r="97" spans="1:9" x14ac:dyDescent="0.25">
      <c r="A97" s="14">
        <v>46118.25</v>
      </c>
      <c r="H97" s="15">
        <f>COUNTA(B97:G97)</f>
      </c>
      <c r="I97" s="16">
        <f>IFERROR(H97/COUNTA($B$1:$G$1),0)</f>
      </c>
    </row>
    <row r="98" spans="1:9" x14ac:dyDescent="0.25">
      <c r="A98" s="14">
        <v>46119.25</v>
      </c>
      <c r="H98" s="15">
        <f>COUNTA(B98:G98)</f>
      </c>
      <c r="I98" s="16">
        <f>IFERROR(H98/COUNTA($B$1:$G$1),0)</f>
      </c>
    </row>
    <row r="99" spans="1:9" x14ac:dyDescent="0.25">
      <c r="A99" s="14">
        <v>46120.25</v>
      </c>
      <c r="H99" s="15">
        <f>COUNTA(B99:G99)</f>
      </c>
      <c r="I99" s="16">
        <f>IFERROR(H99/COUNTA($B$1:$G$1),0)</f>
      </c>
    </row>
    <row r="100" spans="1:9" x14ac:dyDescent="0.25">
      <c r="A100" s="14">
        <v>46121.25</v>
      </c>
      <c r="H100" s="15">
        <f>COUNTA(B100:G100)</f>
      </c>
      <c r="I100" s="16">
        <f>IFERROR(H100/COUNTA($B$1:$G$1),0)</f>
      </c>
    </row>
    <row r="101" spans="1:9" x14ac:dyDescent="0.25">
      <c r="A101" s="14">
        <v>46122.25</v>
      </c>
      <c r="H101" s="15">
        <f>COUNTA(B101:G101)</f>
      </c>
      <c r="I101" s="16">
        <f>IFERROR(H101/COUNTA($B$1:$G$1),0)</f>
      </c>
    </row>
    <row r="102" spans="1:9" x14ac:dyDescent="0.25">
      <c r="A102" s="14">
        <v>46123.25</v>
      </c>
      <c r="H102" s="15">
        <f>COUNTA(B102:G102)</f>
      </c>
      <c r="I102" s="16">
        <f>IFERROR(H102/COUNTA($B$1:$G$1),0)</f>
      </c>
    </row>
    <row r="103" spans="1:9" x14ac:dyDescent="0.25">
      <c r="A103" s="14">
        <v>46124.25</v>
      </c>
      <c r="H103" s="15">
        <f>COUNTA(B103:G103)</f>
      </c>
      <c r="I103" s="16">
        <f>IFERROR(H103/COUNTA($B$1:$G$1),0)</f>
      </c>
    </row>
    <row r="104" spans="1:9" x14ac:dyDescent="0.25">
      <c r="A104" s="14">
        <v>46125.25</v>
      </c>
      <c r="H104" s="15">
        <f>COUNTA(B104:G104)</f>
      </c>
      <c r="I104" s="16">
        <f>IFERROR(H104/COUNTA($B$1:$G$1),0)</f>
      </c>
    </row>
    <row r="105" spans="1:9" x14ac:dyDescent="0.25">
      <c r="A105" s="14">
        <v>46126.25</v>
      </c>
      <c r="H105" s="15">
        <f>COUNTA(B105:G105)</f>
      </c>
      <c r="I105" s="16">
        <f>IFERROR(H105/COUNTA($B$1:$G$1),0)</f>
      </c>
    </row>
    <row r="106" spans="1:9" x14ac:dyDescent="0.25">
      <c r="A106" s="14">
        <v>46127.25</v>
      </c>
      <c r="H106" s="15">
        <f>COUNTA(B106:G106)</f>
      </c>
      <c r="I106" s="16">
        <f>IFERROR(H106/COUNTA($B$1:$G$1),0)</f>
      </c>
    </row>
    <row r="107" spans="1:9" x14ac:dyDescent="0.25">
      <c r="A107" s="14">
        <v>46128.25</v>
      </c>
      <c r="H107" s="15">
        <f>COUNTA(B107:G107)</f>
      </c>
      <c r="I107" s="16">
        <f>IFERROR(H107/COUNTA($B$1:$G$1),0)</f>
      </c>
    </row>
    <row r="108" spans="1:9" x14ac:dyDescent="0.25">
      <c r="A108" s="14">
        <v>46129.25</v>
      </c>
      <c r="H108" s="15">
        <f>COUNTA(B108:G108)</f>
      </c>
      <c r="I108" s="16">
        <f>IFERROR(H108/COUNTA($B$1:$G$1),0)</f>
      </c>
    </row>
    <row r="109" spans="1:9" x14ac:dyDescent="0.25">
      <c r="A109" s="14">
        <v>46130.25</v>
      </c>
      <c r="H109" s="15">
        <f>COUNTA(B109:G109)</f>
      </c>
      <c r="I109" s="16">
        <f>IFERROR(H109/COUNTA($B$1:$G$1),0)</f>
      </c>
    </row>
    <row r="110" spans="1:9" x14ac:dyDescent="0.25">
      <c r="A110" s="14">
        <v>46131.25</v>
      </c>
      <c r="H110" s="15">
        <f>COUNTA(B110:G110)</f>
      </c>
      <c r="I110" s="16">
        <f>IFERROR(H110/COUNTA($B$1:$G$1),0)</f>
      </c>
    </row>
    <row r="111" spans="1:9" x14ac:dyDescent="0.25">
      <c r="A111" s="14">
        <v>46132.25</v>
      </c>
      <c r="H111" s="15">
        <f>COUNTA(B111:G111)</f>
      </c>
      <c r="I111" s="16">
        <f>IFERROR(H111/COUNTA($B$1:$G$1),0)</f>
      </c>
    </row>
    <row r="112" spans="1:9" x14ac:dyDescent="0.25">
      <c r="A112" s="14">
        <v>46133.25</v>
      </c>
      <c r="H112" s="15">
        <f>COUNTA(B112:G112)</f>
      </c>
      <c r="I112" s="16">
        <f>IFERROR(H112/COUNTA($B$1:$G$1),0)</f>
      </c>
    </row>
    <row r="113" spans="1:9" x14ac:dyDescent="0.25">
      <c r="A113" s="14">
        <v>46134.25</v>
      </c>
      <c r="H113" s="15">
        <f>COUNTA(B113:G113)</f>
      </c>
      <c r="I113" s="16">
        <f>IFERROR(H113/COUNTA($B$1:$G$1),0)</f>
      </c>
    </row>
    <row r="114" spans="1:9" x14ac:dyDescent="0.25">
      <c r="A114" s="14">
        <v>46135.25</v>
      </c>
      <c r="H114" s="15">
        <f>COUNTA(B114:G114)</f>
      </c>
      <c r="I114" s="16">
        <f>IFERROR(H114/COUNTA($B$1:$G$1),0)</f>
      </c>
    </row>
    <row r="115" spans="1:9" x14ac:dyDescent="0.25">
      <c r="A115" s="14">
        <v>46136.25</v>
      </c>
      <c r="H115" s="15">
        <f>COUNTA(B115:G115)</f>
      </c>
      <c r="I115" s="16">
        <f>IFERROR(H115/COUNTA($B$1:$G$1),0)</f>
      </c>
    </row>
    <row r="116" spans="1:9" x14ac:dyDescent="0.25">
      <c r="A116" s="14">
        <v>46137.25</v>
      </c>
      <c r="H116" s="15">
        <f>COUNTA(B116:G116)</f>
      </c>
      <c r="I116" s="16">
        <f>IFERROR(H116/COUNTA($B$1:$G$1),0)</f>
      </c>
    </row>
    <row r="117" spans="1:9" x14ac:dyDescent="0.25">
      <c r="A117" s="14">
        <v>46138.25</v>
      </c>
      <c r="H117" s="15">
        <f>COUNTA(B117:G117)</f>
      </c>
      <c r="I117" s="16">
        <f>IFERROR(H117/COUNTA($B$1:$G$1),0)</f>
      </c>
    </row>
    <row r="118" spans="1:9" x14ac:dyDescent="0.25">
      <c r="A118" s="14">
        <v>46139.25</v>
      </c>
      <c r="H118" s="15">
        <f>COUNTA(B118:G118)</f>
      </c>
      <c r="I118" s="16">
        <f>IFERROR(H118/COUNTA($B$1:$G$1),0)</f>
      </c>
    </row>
    <row r="119" spans="1:9" x14ac:dyDescent="0.25">
      <c r="A119" s="14">
        <v>46140.25</v>
      </c>
      <c r="H119" s="15">
        <f>COUNTA(B119:G119)</f>
      </c>
      <c r="I119" s="16">
        <f>IFERROR(H119/COUNTA($B$1:$G$1),0)</f>
      </c>
    </row>
    <row r="120" spans="1:9" x14ac:dyDescent="0.25">
      <c r="A120" s="14">
        <v>46141.25</v>
      </c>
      <c r="H120" s="15">
        <f>COUNTA(B120:G120)</f>
      </c>
      <c r="I120" s="16">
        <f>IFERROR(H120/COUNTA($B$1:$G$1),0)</f>
      </c>
    </row>
    <row r="121" spans="1:9" x14ac:dyDescent="0.25">
      <c r="A121" s="14">
        <v>46142.25</v>
      </c>
      <c r="H121" s="15">
        <f>COUNTA(B121:G121)</f>
      </c>
      <c r="I121" s="16">
        <f>IFERROR(H121/COUNTA($B$1:$G$1),0)</f>
      </c>
    </row>
    <row r="122" spans="1:9" x14ac:dyDescent="0.25">
      <c r="A122" s="14">
        <v>46143.25</v>
      </c>
      <c r="H122" s="15">
        <f>COUNTA(B122:G122)</f>
      </c>
      <c r="I122" s="16">
        <f>IFERROR(H122/COUNTA($B$1:$G$1),0)</f>
      </c>
    </row>
    <row r="123" spans="1:9" x14ac:dyDescent="0.25">
      <c r="A123" s="14">
        <v>46144.25</v>
      </c>
      <c r="H123" s="15">
        <f>COUNTA(B123:G123)</f>
      </c>
      <c r="I123" s="16">
        <f>IFERROR(H123/COUNTA($B$1:$G$1),0)</f>
      </c>
    </row>
    <row r="124" spans="1:9" x14ac:dyDescent="0.25">
      <c r="A124" s="14">
        <v>46145.25</v>
      </c>
      <c r="H124" s="15">
        <f>COUNTA(B124:G124)</f>
      </c>
      <c r="I124" s="16">
        <f>IFERROR(H124/COUNTA($B$1:$G$1),0)</f>
      </c>
    </row>
    <row r="125" spans="1:9" x14ac:dyDescent="0.25">
      <c r="A125" s="14">
        <v>46146.25</v>
      </c>
      <c r="H125" s="15">
        <f>COUNTA(B125:G125)</f>
      </c>
      <c r="I125" s="16">
        <f>IFERROR(H125/COUNTA($B$1:$G$1),0)</f>
      </c>
    </row>
    <row r="126" spans="1:9" x14ac:dyDescent="0.25">
      <c r="A126" s="14">
        <v>46147.25</v>
      </c>
      <c r="H126" s="15">
        <f>COUNTA(B126:G126)</f>
      </c>
      <c r="I126" s="16">
        <f>IFERROR(H126/COUNTA($B$1:$G$1),0)</f>
      </c>
    </row>
    <row r="127" spans="1:9" x14ac:dyDescent="0.25">
      <c r="A127" s="14">
        <v>46148.25</v>
      </c>
      <c r="H127" s="15">
        <f>COUNTA(B127:G127)</f>
      </c>
      <c r="I127" s="16">
        <f>IFERROR(H127/COUNTA($B$1:$G$1),0)</f>
      </c>
    </row>
    <row r="128" spans="1:9" x14ac:dyDescent="0.25">
      <c r="A128" s="14">
        <v>46149.25</v>
      </c>
      <c r="H128" s="15">
        <f>COUNTA(B128:G128)</f>
      </c>
      <c r="I128" s="16">
        <f>IFERROR(H128/COUNTA($B$1:$G$1),0)</f>
      </c>
    </row>
    <row r="129" spans="1:9" x14ac:dyDescent="0.25">
      <c r="A129" s="14">
        <v>46150.25</v>
      </c>
      <c r="H129" s="15">
        <f>COUNTA(B129:G129)</f>
      </c>
      <c r="I129" s="16">
        <f>IFERROR(H129/COUNTA($B$1:$G$1),0)</f>
      </c>
    </row>
    <row r="130" spans="1:9" x14ac:dyDescent="0.25">
      <c r="A130" s="14">
        <v>46151.25</v>
      </c>
      <c r="H130" s="15">
        <f>COUNTA(B130:G130)</f>
      </c>
      <c r="I130" s="16">
        <f>IFERROR(H130/COUNTA($B$1:$G$1),0)</f>
      </c>
    </row>
    <row r="131" spans="1:9" x14ac:dyDescent="0.25">
      <c r="A131" s="14">
        <v>46152.25</v>
      </c>
      <c r="H131" s="15">
        <f>COUNTA(B131:G131)</f>
      </c>
      <c r="I131" s="16">
        <f>IFERROR(H131/COUNTA($B$1:$G$1),0)</f>
      </c>
    </row>
    <row r="132" spans="1:9" x14ac:dyDescent="0.25">
      <c r="A132" s="14">
        <v>46153.25</v>
      </c>
      <c r="H132" s="15">
        <f>COUNTA(B132:G132)</f>
      </c>
      <c r="I132" s="16">
        <f>IFERROR(H132/COUNTA($B$1:$G$1),0)</f>
      </c>
    </row>
    <row r="133" spans="1:9" x14ac:dyDescent="0.25">
      <c r="A133" s="14">
        <v>46154.25</v>
      </c>
      <c r="H133" s="15">
        <f>COUNTA(B133:G133)</f>
      </c>
      <c r="I133" s="16">
        <f>IFERROR(H133/COUNTA($B$1:$G$1),0)</f>
      </c>
    </row>
    <row r="134" spans="1:9" x14ac:dyDescent="0.25">
      <c r="A134" s="14">
        <v>46155.25</v>
      </c>
      <c r="H134" s="15">
        <f>COUNTA(B134:G134)</f>
      </c>
      <c r="I134" s="16">
        <f>IFERROR(H134/COUNTA($B$1:$G$1),0)</f>
      </c>
    </row>
    <row r="135" spans="1:9" x14ac:dyDescent="0.25">
      <c r="A135" s="14">
        <v>46156.25</v>
      </c>
      <c r="H135" s="15">
        <f>COUNTA(B135:G135)</f>
      </c>
      <c r="I135" s="16">
        <f>IFERROR(H135/COUNTA($B$1:$G$1),0)</f>
      </c>
    </row>
    <row r="136" spans="1:9" x14ac:dyDescent="0.25">
      <c r="A136" s="14">
        <v>46157.25</v>
      </c>
      <c r="H136" s="15">
        <f>COUNTA(B136:G136)</f>
      </c>
      <c r="I136" s="16">
        <f>IFERROR(H136/COUNTA($B$1:$G$1),0)</f>
      </c>
    </row>
    <row r="137" spans="1:9" x14ac:dyDescent="0.25">
      <c r="A137" s="14">
        <v>46158.25</v>
      </c>
      <c r="H137" s="15">
        <f>COUNTA(B137:G137)</f>
      </c>
      <c r="I137" s="16">
        <f>IFERROR(H137/COUNTA($B$1:$G$1),0)</f>
      </c>
    </row>
    <row r="138" spans="1:9" x14ac:dyDescent="0.25">
      <c r="A138" s="14">
        <v>46159.25</v>
      </c>
      <c r="H138" s="15">
        <f>COUNTA(B138:G138)</f>
      </c>
      <c r="I138" s="16">
        <f>IFERROR(H138/COUNTA($B$1:$G$1),0)</f>
      </c>
    </row>
    <row r="139" spans="1:9" x14ac:dyDescent="0.25">
      <c r="A139" s="14">
        <v>46160.25</v>
      </c>
      <c r="H139" s="15">
        <f>COUNTA(B139:G139)</f>
      </c>
      <c r="I139" s="16">
        <f>IFERROR(H139/COUNTA($B$1:$G$1),0)</f>
      </c>
    </row>
    <row r="140" spans="1:9" x14ac:dyDescent="0.25">
      <c r="A140" s="14">
        <v>46161.25</v>
      </c>
      <c r="H140" s="15">
        <f>COUNTA(B140:G140)</f>
      </c>
      <c r="I140" s="16">
        <f>IFERROR(H140/COUNTA($B$1:$G$1),0)</f>
      </c>
    </row>
    <row r="141" spans="1:9" x14ac:dyDescent="0.25">
      <c r="A141" s="14">
        <v>46162.25</v>
      </c>
      <c r="H141" s="15">
        <f>COUNTA(B141:G141)</f>
      </c>
      <c r="I141" s="16">
        <f>IFERROR(H141/COUNTA($B$1:$G$1),0)</f>
      </c>
    </row>
    <row r="142" spans="1:9" x14ac:dyDescent="0.25">
      <c r="A142" s="14">
        <v>46163.25</v>
      </c>
      <c r="H142" s="15">
        <f>COUNTA(B142:G142)</f>
      </c>
      <c r="I142" s="16">
        <f>IFERROR(H142/COUNTA($B$1:$G$1),0)</f>
      </c>
    </row>
    <row r="143" spans="1:9" x14ac:dyDescent="0.25">
      <c r="A143" s="14">
        <v>46164.25</v>
      </c>
      <c r="H143" s="15">
        <f>COUNTA(B143:G143)</f>
      </c>
      <c r="I143" s="16">
        <f>IFERROR(H143/COUNTA($B$1:$G$1),0)</f>
      </c>
    </row>
    <row r="144" spans="1:9" x14ac:dyDescent="0.25">
      <c r="A144" s="14">
        <v>46165.25</v>
      </c>
      <c r="H144" s="15">
        <f>COUNTA(B144:G144)</f>
      </c>
      <c r="I144" s="16">
        <f>IFERROR(H144/COUNTA($B$1:$G$1),0)</f>
      </c>
    </row>
    <row r="145" spans="1:9" x14ac:dyDescent="0.25">
      <c r="A145" s="14">
        <v>46166.25</v>
      </c>
      <c r="H145" s="15">
        <f>COUNTA(B145:G145)</f>
      </c>
      <c r="I145" s="16">
        <f>IFERROR(H145/COUNTA($B$1:$G$1),0)</f>
      </c>
    </row>
    <row r="146" spans="1:9" x14ac:dyDescent="0.25">
      <c r="A146" s="14">
        <v>46167.25</v>
      </c>
      <c r="H146" s="15">
        <f>COUNTA(B146:G146)</f>
      </c>
      <c r="I146" s="16">
        <f>IFERROR(H146/COUNTA($B$1:$G$1),0)</f>
      </c>
    </row>
    <row r="147" spans="1:9" x14ac:dyDescent="0.25">
      <c r="A147" s="14">
        <v>46168.25</v>
      </c>
      <c r="H147" s="15">
        <f>COUNTA(B147:G147)</f>
      </c>
      <c r="I147" s="16">
        <f>IFERROR(H147/COUNTA($B$1:$G$1),0)</f>
      </c>
    </row>
    <row r="148" spans="1:9" x14ac:dyDescent="0.25">
      <c r="A148" s="14">
        <v>46169.25</v>
      </c>
      <c r="H148" s="15">
        <f>COUNTA(B148:G148)</f>
      </c>
      <c r="I148" s="16">
        <f>IFERROR(H148/COUNTA($B$1:$G$1),0)</f>
      </c>
    </row>
    <row r="149" spans="1:9" x14ac:dyDescent="0.25">
      <c r="A149" s="14">
        <v>46170.25</v>
      </c>
      <c r="H149" s="15">
        <f>COUNTA(B149:G149)</f>
      </c>
      <c r="I149" s="16">
        <f>IFERROR(H149/COUNTA($B$1:$G$1),0)</f>
      </c>
    </row>
    <row r="150" spans="1:9" x14ac:dyDescent="0.25">
      <c r="A150" s="14">
        <v>46171.25</v>
      </c>
      <c r="H150" s="15">
        <f>COUNTA(B150:G150)</f>
      </c>
      <c r="I150" s="16">
        <f>IFERROR(H150/COUNTA($B$1:$G$1),0)</f>
      </c>
    </row>
    <row r="151" spans="1:9" x14ac:dyDescent="0.25">
      <c r="A151" s="14">
        <v>46172.25</v>
      </c>
      <c r="H151" s="15">
        <f>COUNTA(B151:G151)</f>
      </c>
      <c r="I151" s="16">
        <f>IFERROR(H151/COUNTA($B$1:$G$1),0)</f>
      </c>
    </row>
    <row r="152" spans="1:9" x14ac:dyDescent="0.25">
      <c r="A152" s="14">
        <v>46173.25</v>
      </c>
      <c r="H152" s="15">
        <f>COUNTA(B152:G152)</f>
      </c>
      <c r="I152" s="16">
        <f>IFERROR(H152/COUNTA($B$1:$G$1),0)</f>
      </c>
    </row>
    <row r="153" spans="1:9" x14ac:dyDescent="0.25">
      <c r="A153" s="14">
        <v>46174.25</v>
      </c>
      <c r="H153" s="15">
        <f>COUNTA(B153:G153)</f>
      </c>
      <c r="I153" s="16">
        <f>IFERROR(H153/COUNTA($B$1:$G$1),0)</f>
      </c>
    </row>
    <row r="154" spans="1:9" x14ac:dyDescent="0.25">
      <c r="A154" s="14">
        <v>46175.25</v>
      </c>
      <c r="H154" s="15">
        <f>COUNTA(B154:G154)</f>
      </c>
      <c r="I154" s="16">
        <f>IFERROR(H154/COUNTA($B$1:$G$1),0)</f>
      </c>
    </row>
    <row r="155" spans="1:9" x14ac:dyDescent="0.25">
      <c r="A155" s="14">
        <v>46176.25</v>
      </c>
      <c r="H155" s="15">
        <f>COUNTA(B155:G155)</f>
      </c>
      <c r="I155" s="16">
        <f>IFERROR(H155/COUNTA($B$1:$G$1),0)</f>
      </c>
    </row>
    <row r="156" spans="1:9" x14ac:dyDescent="0.25">
      <c r="A156" s="14">
        <v>46177.25</v>
      </c>
      <c r="H156" s="15">
        <f>COUNTA(B156:G156)</f>
      </c>
      <c r="I156" s="16">
        <f>IFERROR(H156/COUNTA($B$1:$G$1),0)</f>
      </c>
    </row>
    <row r="157" spans="1:9" x14ac:dyDescent="0.25">
      <c r="A157" s="14">
        <v>46178.25</v>
      </c>
      <c r="H157" s="15">
        <f>COUNTA(B157:G157)</f>
      </c>
      <c r="I157" s="16">
        <f>IFERROR(H157/COUNTA($B$1:$G$1),0)</f>
      </c>
    </row>
    <row r="158" spans="1:9" x14ac:dyDescent="0.25">
      <c r="A158" s="14">
        <v>46179.25</v>
      </c>
      <c r="H158" s="15">
        <f>COUNTA(B158:G158)</f>
      </c>
      <c r="I158" s="16">
        <f>IFERROR(H158/COUNTA($B$1:$G$1),0)</f>
      </c>
    </row>
    <row r="159" spans="1:9" x14ac:dyDescent="0.25">
      <c r="A159" s="14">
        <v>46180.25</v>
      </c>
      <c r="H159" s="15">
        <f>COUNTA(B159:G159)</f>
      </c>
      <c r="I159" s="16">
        <f>IFERROR(H159/COUNTA($B$1:$G$1),0)</f>
      </c>
    </row>
    <row r="160" spans="1:9" x14ac:dyDescent="0.25">
      <c r="A160" s="14">
        <v>46181.25</v>
      </c>
      <c r="H160" s="15">
        <f>COUNTA(B160:G160)</f>
      </c>
      <c r="I160" s="16">
        <f>IFERROR(H160/COUNTA($B$1:$G$1),0)</f>
      </c>
    </row>
    <row r="161" spans="1:9" x14ac:dyDescent="0.25">
      <c r="A161" s="14">
        <v>46182.25</v>
      </c>
      <c r="H161" s="15">
        <f>COUNTA(B161:G161)</f>
      </c>
      <c r="I161" s="16">
        <f>IFERROR(H161/COUNTA($B$1:$G$1),0)</f>
      </c>
    </row>
    <row r="162" spans="1:9" x14ac:dyDescent="0.25">
      <c r="A162" s="14">
        <v>46183.25</v>
      </c>
      <c r="H162" s="15">
        <f>COUNTA(B162:G162)</f>
      </c>
      <c r="I162" s="16">
        <f>IFERROR(H162/COUNTA($B$1:$G$1),0)</f>
      </c>
    </row>
    <row r="163" spans="1:9" x14ac:dyDescent="0.25">
      <c r="A163" s="14">
        <v>46184.25</v>
      </c>
      <c r="H163" s="15">
        <f>COUNTA(B163:G163)</f>
      </c>
      <c r="I163" s="16">
        <f>IFERROR(H163/COUNTA($B$1:$G$1),0)</f>
      </c>
    </row>
    <row r="164" spans="1:9" x14ac:dyDescent="0.25">
      <c r="A164" s="14">
        <v>46185.25</v>
      </c>
      <c r="H164" s="15">
        <f>COUNTA(B164:G164)</f>
      </c>
      <c r="I164" s="16">
        <f>IFERROR(H164/COUNTA($B$1:$G$1),0)</f>
      </c>
    </row>
    <row r="165" spans="1:9" x14ac:dyDescent="0.25">
      <c r="A165" s="14">
        <v>46186.25</v>
      </c>
      <c r="H165" s="15">
        <f>COUNTA(B165:G165)</f>
      </c>
      <c r="I165" s="16">
        <f>IFERROR(H165/COUNTA($B$1:$G$1),0)</f>
      </c>
    </row>
    <row r="166" spans="1:9" x14ac:dyDescent="0.25">
      <c r="A166" s="14">
        <v>46187.25</v>
      </c>
      <c r="H166" s="15">
        <f>COUNTA(B166:G166)</f>
      </c>
      <c r="I166" s="16">
        <f>IFERROR(H166/COUNTA($B$1:$G$1),0)</f>
      </c>
    </row>
    <row r="167" spans="1:9" x14ac:dyDescent="0.25">
      <c r="A167" s="14">
        <v>46188.25</v>
      </c>
      <c r="H167" s="15">
        <f>COUNTA(B167:G167)</f>
      </c>
      <c r="I167" s="16">
        <f>IFERROR(H167/COUNTA($B$1:$G$1),0)</f>
      </c>
    </row>
    <row r="168" spans="1:9" x14ac:dyDescent="0.25">
      <c r="A168" s="14">
        <v>46189.25</v>
      </c>
      <c r="H168" s="15">
        <f>COUNTA(B168:G168)</f>
      </c>
      <c r="I168" s="16">
        <f>IFERROR(H168/COUNTA($B$1:$G$1),0)</f>
      </c>
    </row>
    <row r="169" spans="1:9" x14ac:dyDescent="0.25">
      <c r="A169" s="14">
        <v>46190.25</v>
      </c>
      <c r="H169" s="15">
        <f>COUNTA(B169:G169)</f>
      </c>
      <c r="I169" s="16">
        <f>IFERROR(H169/COUNTA($B$1:$G$1),0)</f>
      </c>
    </row>
    <row r="170" spans="1:9" x14ac:dyDescent="0.25">
      <c r="A170" s="14">
        <v>46191.25</v>
      </c>
      <c r="H170" s="15">
        <f>COUNTA(B170:G170)</f>
      </c>
      <c r="I170" s="16">
        <f>IFERROR(H170/COUNTA($B$1:$G$1),0)</f>
      </c>
    </row>
    <row r="171" spans="1:9" x14ac:dyDescent="0.25">
      <c r="A171" s="14">
        <v>46192.25</v>
      </c>
      <c r="H171" s="15">
        <f>COUNTA(B171:G171)</f>
      </c>
      <c r="I171" s="16">
        <f>IFERROR(H171/COUNTA($B$1:$G$1),0)</f>
      </c>
    </row>
    <row r="172" spans="1:9" x14ac:dyDescent="0.25">
      <c r="A172" s="14">
        <v>46193.25</v>
      </c>
      <c r="H172" s="15">
        <f>COUNTA(B172:G172)</f>
      </c>
      <c r="I172" s="16">
        <f>IFERROR(H172/COUNTA($B$1:$G$1),0)</f>
      </c>
    </row>
    <row r="173" spans="1:9" x14ac:dyDescent="0.25">
      <c r="A173" s="14">
        <v>46194.25</v>
      </c>
      <c r="H173" s="15">
        <f>COUNTA(B173:G173)</f>
      </c>
      <c r="I173" s="16">
        <f>IFERROR(H173/COUNTA($B$1:$G$1),0)</f>
      </c>
    </row>
    <row r="174" spans="1:9" x14ac:dyDescent="0.25">
      <c r="A174" s="14">
        <v>46195.25</v>
      </c>
      <c r="H174" s="15">
        <f>COUNTA(B174:G174)</f>
      </c>
      <c r="I174" s="16">
        <f>IFERROR(H174/COUNTA($B$1:$G$1),0)</f>
      </c>
    </row>
    <row r="175" spans="1:9" x14ac:dyDescent="0.25">
      <c r="A175" s="14">
        <v>46196.25</v>
      </c>
      <c r="H175" s="15">
        <f>COUNTA(B175:G175)</f>
      </c>
      <c r="I175" s="16">
        <f>IFERROR(H175/COUNTA($B$1:$G$1),0)</f>
      </c>
    </row>
    <row r="176" spans="1:9" x14ac:dyDescent="0.25">
      <c r="A176" s="14">
        <v>46197.25</v>
      </c>
      <c r="H176" s="15">
        <f>COUNTA(B176:G176)</f>
      </c>
      <c r="I176" s="16">
        <f>IFERROR(H176/COUNTA($B$1:$G$1),0)</f>
      </c>
    </row>
    <row r="177" spans="1:9" x14ac:dyDescent="0.25">
      <c r="A177" s="14">
        <v>46198.25</v>
      </c>
      <c r="H177" s="15">
        <f>COUNTA(B177:G177)</f>
      </c>
      <c r="I177" s="16">
        <f>IFERROR(H177/COUNTA($B$1:$G$1),0)</f>
      </c>
    </row>
    <row r="178" spans="1:9" x14ac:dyDescent="0.25">
      <c r="A178" s="14">
        <v>46199.25</v>
      </c>
      <c r="H178" s="15">
        <f>COUNTA(B178:G178)</f>
      </c>
      <c r="I178" s="16">
        <f>IFERROR(H178/COUNTA($B$1:$G$1),0)</f>
      </c>
    </row>
    <row r="179" spans="1:9" x14ac:dyDescent="0.25">
      <c r="A179" s="14">
        <v>46200.25</v>
      </c>
      <c r="H179" s="15">
        <f>COUNTA(B179:G179)</f>
      </c>
      <c r="I179" s="16">
        <f>IFERROR(H179/COUNTA($B$1:$G$1),0)</f>
      </c>
    </row>
    <row r="180" spans="1:9" x14ac:dyDescent="0.25">
      <c r="A180" s="14">
        <v>46201.25</v>
      </c>
      <c r="H180" s="15">
        <f>COUNTA(B180:G180)</f>
      </c>
      <c r="I180" s="16">
        <f>IFERROR(H180/COUNTA($B$1:$G$1),0)</f>
      </c>
    </row>
    <row r="181" spans="1:9" x14ac:dyDescent="0.25">
      <c r="A181" s="14">
        <v>46202.25</v>
      </c>
      <c r="H181" s="15">
        <f>COUNTA(B181:G181)</f>
      </c>
      <c r="I181" s="16">
        <f>IFERROR(H181/COUNTA($B$1:$G$1),0)</f>
      </c>
    </row>
    <row r="182" spans="1:9" x14ac:dyDescent="0.25">
      <c r="A182" s="14">
        <v>46203.25</v>
      </c>
      <c r="H182" s="15">
        <f>COUNTA(B182:G182)</f>
      </c>
      <c r="I182" s="16">
        <f>IFERROR(H182/COUNTA($B$1:$G$1),0)</f>
      </c>
    </row>
    <row r="183" spans="1:9" x14ac:dyDescent="0.25">
      <c r="A183" s="14">
        <v>46204.25</v>
      </c>
      <c r="H183" s="15">
        <f>COUNTA(B183:G183)</f>
      </c>
      <c r="I183" s="16">
        <f>IFERROR(H183/COUNTA($B$1:$G$1),0)</f>
      </c>
    </row>
    <row r="184" spans="1:9" x14ac:dyDescent="0.25">
      <c r="A184" s="14">
        <v>46205.25</v>
      </c>
      <c r="H184" s="15">
        <f>COUNTA(B184:G184)</f>
      </c>
      <c r="I184" s="16">
        <f>IFERROR(H184/COUNTA($B$1:$G$1),0)</f>
      </c>
    </row>
    <row r="185" spans="1:9" x14ac:dyDescent="0.25">
      <c r="A185" s="14">
        <v>46206.25</v>
      </c>
      <c r="H185" s="15">
        <f>COUNTA(B185:G185)</f>
      </c>
      <c r="I185" s="16">
        <f>IFERROR(H185/COUNTA($B$1:$G$1),0)</f>
      </c>
    </row>
    <row r="186" spans="1:9" x14ac:dyDescent="0.25">
      <c r="A186" s="14">
        <v>46207.25</v>
      </c>
      <c r="H186" s="15">
        <f>COUNTA(B186:G186)</f>
      </c>
      <c r="I186" s="16">
        <f>IFERROR(H186/COUNTA($B$1:$G$1),0)</f>
      </c>
    </row>
    <row r="187" spans="1:9" x14ac:dyDescent="0.25">
      <c r="A187" s="14">
        <v>46208.25</v>
      </c>
      <c r="H187" s="15">
        <f>COUNTA(B187:G187)</f>
      </c>
      <c r="I187" s="16">
        <f>IFERROR(H187/COUNTA($B$1:$G$1),0)</f>
      </c>
    </row>
    <row r="188" spans="1:9" x14ac:dyDescent="0.25">
      <c r="A188" s="14">
        <v>46209.25</v>
      </c>
      <c r="H188" s="15">
        <f>COUNTA(B188:G188)</f>
      </c>
      <c r="I188" s="16">
        <f>IFERROR(H188/COUNTA($B$1:$G$1),0)</f>
      </c>
    </row>
    <row r="189" spans="1:9" x14ac:dyDescent="0.25">
      <c r="A189" s="14">
        <v>46210.25</v>
      </c>
      <c r="H189" s="15">
        <f>COUNTA(B189:G189)</f>
      </c>
      <c r="I189" s="16">
        <f>IFERROR(H189/COUNTA($B$1:$G$1),0)</f>
      </c>
    </row>
    <row r="190" spans="1:9" x14ac:dyDescent="0.25">
      <c r="A190" s="14">
        <v>46211.25</v>
      </c>
      <c r="H190" s="15">
        <f>COUNTA(B190:G190)</f>
      </c>
      <c r="I190" s="16">
        <f>IFERROR(H190/COUNTA($B$1:$G$1),0)</f>
      </c>
    </row>
    <row r="191" spans="1:9" x14ac:dyDescent="0.25">
      <c r="A191" s="14">
        <v>46212.25</v>
      </c>
      <c r="H191" s="15">
        <f>COUNTA(B191:G191)</f>
      </c>
      <c r="I191" s="16">
        <f>IFERROR(H191/COUNTA($B$1:$G$1),0)</f>
      </c>
    </row>
    <row r="192" spans="1:9" x14ac:dyDescent="0.25">
      <c r="A192" s="14">
        <v>46213.25</v>
      </c>
      <c r="H192" s="15">
        <f>COUNTA(B192:G192)</f>
      </c>
      <c r="I192" s="16">
        <f>IFERROR(H192/COUNTA($B$1:$G$1),0)</f>
      </c>
    </row>
    <row r="193" spans="1:9" x14ac:dyDescent="0.25">
      <c r="A193" s="14">
        <v>46214.25</v>
      </c>
      <c r="H193" s="15">
        <f>COUNTA(B193:G193)</f>
      </c>
      <c r="I193" s="16">
        <f>IFERROR(H193/COUNTA($B$1:$G$1),0)</f>
      </c>
    </row>
    <row r="194" spans="1:9" x14ac:dyDescent="0.25">
      <c r="A194" s="14">
        <v>46215.25</v>
      </c>
      <c r="H194" s="15">
        <f>COUNTA(B194:G194)</f>
      </c>
      <c r="I194" s="16">
        <f>IFERROR(H194/COUNTA($B$1:$G$1),0)</f>
      </c>
    </row>
    <row r="195" spans="1:9" x14ac:dyDescent="0.25">
      <c r="A195" s="14">
        <v>46216.25</v>
      </c>
      <c r="H195" s="15">
        <f>COUNTA(B195:G195)</f>
      </c>
      <c r="I195" s="16">
        <f>IFERROR(H195/COUNTA($B$1:$G$1),0)</f>
      </c>
    </row>
    <row r="196" spans="1:9" x14ac:dyDescent="0.25">
      <c r="A196" s="14">
        <v>46217.25</v>
      </c>
      <c r="H196" s="15">
        <f>COUNTA(B196:G196)</f>
      </c>
      <c r="I196" s="16">
        <f>IFERROR(H196/COUNTA($B$1:$G$1),0)</f>
      </c>
    </row>
    <row r="197" spans="1:9" x14ac:dyDescent="0.25">
      <c r="A197" s="14">
        <v>46218.25</v>
      </c>
      <c r="H197" s="15">
        <f>COUNTA(B197:G197)</f>
      </c>
      <c r="I197" s="16">
        <f>IFERROR(H197/COUNTA($B$1:$G$1),0)</f>
      </c>
    </row>
    <row r="198" spans="1:9" x14ac:dyDescent="0.25">
      <c r="A198" s="14">
        <v>46219.25</v>
      </c>
      <c r="H198" s="15">
        <f>COUNTA(B198:G198)</f>
      </c>
      <c r="I198" s="16">
        <f>IFERROR(H198/COUNTA($B$1:$G$1),0)</f>
      </c>
    </row>
    <row r="199" spans="1:9" x14ac:dyDescent="0.25">
      <c r="A199" s="14">
        <v>46220.25</v>
      </c>
      <c r="H199" s="15">
        <f>COUNTA(B199:G199)</f>
      </c>
      <c r="I199" s="16">
        <f>IFERROR(H199/COUNTA($B$1:$G$1),0)</f>
      </c>
    </row>
    <row r="200" spans="1:9" x14ac:dyDescent="0.25">
      <c r="A200" s="14">
        <v>46221.25</v>
      </c>
      <c r="H200" s="15">
        <f>COUNTA(B200:G200)</f>
      </c>
      <c r="I200" s="16">
        <f>IFERROR(H200/COUNTA($B$1:$G$1),0)</f>
      </c>
    </row>
    <row r="201" spans="1:9" x14ac:dyDescent="0.25">
      <c r="A201" s="14">
        <v>46222.25</v>
      </c>
      <c r="H201" s="15">
        <f>COUNTA(B201:G201)</f>
      </c>
      <c r="I201" s="16">
        <f>IFERROR(H201/COUNTA($B$1:$G$1),0)</f>
      </c>
    </row>
    <row r="202" spans="1:9" x14ac:dyDescent="0.25">
      <c r="A202" s="14">
        <v>46223.25</v>
      </c>
      <c r="H202" s="15">
        <f>COUNTA(B202:G202)</f>
      </c>
      <c r="I202" s="16">
        <f>IFERROR(H202/COUNTA($B$1:$G$1),0)</f>
      </c>
    </row>
    <row r="203" spans="1:9" x14ac:dyDescent="0.25">
      <c r="A203" s="14">
        <v>46224.25</v>
      </c>
      <c r="H203" s="15">
        <f>COUNTA(B203:G203)</f>
      </c>
      <c r="I203" s="16">
        <f>IFERROR(H203/COUNTA($B$1:$G$1),0)</f>
      </c>
    </row>
    <row r="204" spans="1:9" x14ac:dyDescent="0.25">
      <c r="A204" s="14">
        <v>46225.25</v>
      </c>
      <c r="H204" s="15">
        <f>COUNTA(B204:G204)</f>
      </c>
      <c r="I204" s="16">
        <f>IFERROR(H204/COUNTA($B$1:$G$1),0)</f>
      </c>
    </row>
    <row r="205" spans="1:9" x14ac:dyDescent="0.25">
      <c r="A205" s="14">
        <v>46226.25</v>
      </c>
      <c r="H205" s="15">
        <f>COUNTA(B205:G205)</f>
      </c>
      <c r="I205" s="16">
        <f>IFERROR(H205/COUNTA($B$1:$G$1),0)</f>
      </c>
    </row>
    <row r="206" spans="1:9" x14ac:dyDescent="0.25">
      <c r="A206" s="14">
        <v>46227.25</v>
      </c>
      <c r="H206" s="15">
        <f>COUNTA(B206:G206)</f>
      </c>
      <c r="I206" s="16">
        <f>IFERROR(H206/COUNTA($B$1:$G$1),0)</f>
      </c>
    </row>
    <row r="207" spans="1:9" x14ac:dyDescent="0.25">
      <c r="A207" s="14">
        <v>46228.25</v>
      </c>
      <c r="H207" s="15">
        <f>COUNTA(B207:G207)</f>
      </c>
      <c r="I207" s="16">
        <f>IFERROR(H207/COUNTA($B$1:$G$1),0)</f>
      </c>
    </row>
    <row r="208" spans="1:9" x14ac:dyDescent="0.25">
      <c r="A208" s="14">
        <v>46229.25</v>
      </c>
      <c r="H208" s="15">
        <f>COUNTA(B208:G208)</f>
      </c>
      <c r="I208" s="16">
        <f>IFERROR(H208/COUNTA($B$1:$G$1),0)</f>
      </c>
    </row>
    <row r="209" spans="1:9" x14ac:dyDescent="0.25">
      <c r="A209" s="14">
        <v>46230.25</v>
      </c>
      <c r="H209" s="15">
        <f>COUNTA(B209:G209)</f>
      </c>
      <c r="I209" s="16">
        <f>IFERROR(H209/COUNTA($B$1:$G$1),0)</f>
      </c>
    </row>
    <row r="210" spans="1:9" x14ac:dyDescent="0.25">
      <c r="A210" s="14">
        <v>46231.25</v>
      </c>
      <c r="H210" s="15">
        <f>COUNTA(B210:G210)</f>
      </c>
      <c r="I210" s="16">
        <f>IFERROR(H210/COUNTA($B$1:$G$1),0)</f>
      </c>
    </row>
    <row r="211" spans="1:9" x14ac:dyDescent="0.25">
      <c r="A211" s="14">
        <v>46232.25</v>
      </c>
      <c r="H211" s="15">
        <f>COUNTA(B211:G211)</f>
      </c>
      <c r="I211" s="16">
        <f>IFERROR(H211/COUNTA($B$1:$G$1),0)</f>
      </c>
    </row>
    <row r="212" spans="1:9" x14ac:dyDescent="0.25">
      <c r="A212" s="14">
        <v>46233.25</v>
      </c>
      <c r="H212" s="15">
        <f>COUNTA(B212:G212)</f>
      </c>
      <c r="I212" s="16">
        <f>IFERROR(H212/COUNTA($B$1:$G$1),0)</f>
      </c>
    </row>
    <row r="213" spans="1:9" x14ac:dyDescent="0.25">
      <c r="A213" s="14">
        <v>46234.25</v>
      </c>
      <c r="H213" s="15">
        <f>COUNTA(B213:G213)</f>
      </c>
      <c r="I213" s="16">
        <f>IFERROR(H213/COUNTA($B$1:$G$1),0)</f>
      </c>
    </row>
    <row r="214" spans="1:9" x14ac:dyDescent="0.25">
      <c r="A214" s="14">
        <v>46235.25</v>
      </c>
      <c r="H214" s="15">
        <f>COUNTA(B214:G214)</f>
      </c>
      <c r="I214" s="16">
        <f>IFERROR(H214/COUNTA($B$1:$G$1),0)</f>
      </c>
    </row>
    <row r="215" spans="1:9" x14ac:dyDescent="0.25">
      <c r="A215" s="14">
        <v>46236.25</v>
      </c>
      <c r="H215" s="15">
        <f>COUNTA(B215:G215)</f>
      </c>
      <c r="I215" s="16">
        <f>IFERROR(H215/COUNTA($B$1:$G$1),0)</f>
      </c>
    </row>
    <row r="216" spans="1:9" x14ac:dyDescent="0.25">
      <c r="A216" s="14">
        <v>46237.25</v>
      </c>
      <c r="H216" s="15">
        <f>COUNTA(B216:G216)</f>
      </c>
      <c r="I216" s="16">
        <f>IFERROR(H216/COUNTA($B$1:$G$1),0)</f>
      </c>
    </row>
    <row r="217" spans="1:9" x14ac:dyDescent="0.25">
      <c r="A217" s="14">
        <v>46238.25</v>
      </c>
      <c r="H217" s="15">
        <f>COUNTA(B217:G217)</f>
      </c>
      <c r="I217" s="16">
        <f>IFERROR(H217/COUNTA($B$1:$G$1),0)</f>
      </c>
    </row>
    <row r="218" spans="1:9" x14ac:dyDescent="0.25">
      <c r="A218" s="14">
        <v>46239.25</v>
      </c>
      <c r="H218" s="15">
        <f>COUNTA(B218:G218)</f>
      </c>
      <c r="I218" s="16">
        <f>IFERROR(H218/COUNTA($B$1:$G$1),0)</f>
      </c>
    </row>
    <row r="219" spans="1:9" x14ac:dyDescent="0.25">
      <c r="A219" s="14">
        <v>46240.25</v>
      </c>
      <c r="H219" s="15">
        <f>COUNTA(B219:G219)</f>
      </c>
      <c r="I219" s="16">
        <f>IFERROR(H219/COUNTA($B$1:$G$1),0)</f>
      </c>
    </row>
    <row r="220" spans="1:9" x14ac:dyDescent="0.25">
      <c r="A220" s="14">
        <v>46241.25</v>
      </c>
      <c r="H220" s="15">
        <f>COUNTA(B220:G220)</f>
      </c>
      <c r="I220" s="16">
        <f>IFERROR(H220/COUNTA($B$1:$G$1),0)</f>
      </c>
    </row>
    <row r="221" spans="1:9" x14ac:dyDescent="0.25">
      <c r="A221" s="14">
        <v>46242.25</v>
      </c>
      <c r="H221" s="15">
        <f>COUNTA(B221:G221)</f>
      </c>
      <c r="I221" s="16">
        <f>IFERROR(H221/COUNTA($B$1:$G$1),0)</f>
      </c>
    </row>
    <row r="222" spans="1:9" x14ac:dyDescent="0.25">
      <c r="A222" s="14">
        <v>46243.25</v>
      </c>
      <c r="H222" s="15">
        <f>COUNTA(B222:G222)</f>
      </c>
      <c r="I222" s="16">
        <f>IFERROR(H222/COUNTA($B$1:$G$1),0)</f>
      </c>
    </row>
    <row r="223" spans="1:9" x14ac:dyDescent="0.25">
      <c r="A223" s="14">
        <v>46244.25</v>
      </c>
      <c r="H223" s="15">
        <f>COUNTA(B223:G223)</f>
      </c>
      <c r="I223" s="16">
        <f>IFERROR(H223/COUNTA($B$1:$G$1),0)</f>
      </c>
    </row>
    <row r="224" spans="1:9" x14ac:dyDescent="0.25">
      <c r="A224" s="14">
        <v>46245.25</v>
      </c>
      <c r="H224" s="15">
        <f>COUNTA(B224:G224)</f>
      </c>
      <c r="I224" s="16">
        <f>IFERROR(H224/COUNTA($B$1:$G$1),0)</f>
      </c>
    </row>
    <row r="225" spans="1:9" x14ac:dyDescent="0.25">
      <c r="A225" s="14">
        <v>46246.25</v>
      </c>
      <c r="H225" s="15">
        <f>COUNTA(B225:G225)</f>
      </c>
      <c r="I225" s="16">
        <f>IFERROR(H225/COUNTA($B$1:$G$1),0)</f>
      </c>
    </row>
    <row r="226" spans="1:9" x14ac:dyDescent="0.25">
      <c r="A226" s="14">
        <v>46247.25</v>
      </c>
      <c r="H226" s="15">
        <f>COUNTA(B226:G226)</f>
      </c>
      <c r="I226" s="16">
        <f>IFERROR(H226/COUNTA($B$1:$G$1),0)</f>
      </c>
    </row>
    <row r="227" spans="1:9" x14ac:dyDescent="0.25">
      <c r="A227" s="14">
        <v>46248.25</v>
      </c>
      <c r="H227" s="15">
        <f>COUNTA(B227:G227)</f>
      </c>
      <c r="I227" s="16">
        <f>IFERROR(H227/COUNTA($B$1:$G$1),0)</f>
      </c>
    </row>
    <row r="228" spans="1:9" x14ac:dyDescent="0.25">
      <c r="A228" s="14">
        <v>46249.25</v>
      </c>
      <c r="H228" s="15">
        <f>COUNTA(B228:G228)</f>
      </c>
      <c r="I228" s="16">
        <f>IFERROR(H228/COUNTA($B$1:$G$1),0)</f>
      </c>
    </row>
    <row r="229" spans="1:9" x14ac:dyDescent="0.25">
      <c r="A229" s="14">
        <v>46250.25</v>
      </c>
      <c r="H229" s="15">
        <f>COUNTA(B229:G229)</f>
      </c>
      <c r="I229" s="16">
        <f>IFERROR(H229/COUNTA($B$1:$G$1),0)</f>
      </c>
    </row>
    <row r="230" spans="1:9" x14ac:dyDescent="0.25">
      <c r="A230" s="14">
        <v>46251.25</v>
      </c>
      <c r="H230" s="15">
        <f>COUNTA(B230:G230)</f>
      </c>
      <c r="I230" s="16">
        <f>IFERROR(H230/COUNTA($B$1:$G$1),0)</f>
      </c>
    </row>
    <row r="231" spans="1:9" x14ac:dyDescent="0.25">
      <c r="A231" s="14">
        <v>46252.25</v>
      </c>
      <c r="H231" s="15">
        <f>COUNTA(B231:G231)</f>
      </c>
      <c r="I231" s="16">
        <f>IFERROR(H231/COUNTA($B$1:$G$1),0)</f>
      </c>
    </row>
    <row r="232" spans="1:9" x14ac:dyDescent="0.25">
      <c r="A232" s="14">
        <v>46253.25</v>
      </c>
      <c r="H232" s="15">
        <f>COUNTA(B232:G232)</f>
      </c>
      <c r="I232" s="16">
        <f>IFERROR(H232/COUNTA($B$1:$G$1),0)</f>
      </c>
    </row>
    <row r="233" spans="1:9" x14ac:dyDescent="0.25">
      <c r="A233" s="14">
        <v>46254.25</v>
      </c>
      <c r="H233" s="15">
        <f>COUNTA(B233:G233)</f>
      </c>
      <c r="I233" s="16">
        <f>IFERROR(H233/COUNTA($B$1:$G$1),0)</f>
      </c>
    </row>
    <row r="234" spans="1:9" x14ac:dyDescent="0.25">
      <c r="A234" s="14">
        <v>46255.25</v>
      </c>
      <c r="H234" s="15">
        <f>COUNTA(B234:G234)</f>
      </c>
      <c r="I234" s="16">
        <f>IFERROR(H234/COUNTA($B$1:$G$1),0)</f>
      </c>
    </row>
    <row r="235" spans="1:9" x14ac:dyDescent="0.25">
      <c r="A235" s="14">
        <v>46256.25</v>
      </c>
      <c r="H235" s="15">
        <f>COUNTA(B235:G235)</f>
      </c>
      <c r="I235" s="16">
        <f>IFERROR(H235/COUNTA($B$1:$G$1),0)</f>
      </c>
    </row>
    <row r="236" spans="1:9" x14ac:dyDescent="0.25">
      <c r="A236" s="14">
        <v>46257.25</v>
      </c>
      <c r="H236" s="15">
        <f>COUNTA(B236:G236)</f>
      </c>
      <c r="I236" s="16">
        <f>IFERROR(H236/COUNTA($B$1:$G$1),0)</f>
      </c>
    </row>
    <row r="237" spans="1:9" x14ac:dyDescent="0.25">
      <c r="A237" s="14">
        <v>46258.25</v>
      </c>
      <c r="H237" s="15">
        <f>COUNTA(B237:G237)</f>
      </c>
      <c r="I237" s="16">
        <f>IFERROR(H237/COUNTA($B$1:$G$1),0)</f>
      </c>
    </row>
    <row r="238" spans="1:9" x14ac:dyDescent="0.25">
      <c r="A238" s="14">
        <v>46259.25</v>
      </c>
      <c r="H238" s="15">
        <f>COUNTA(B238:G238)</f>
      </c>
      <c r="I238" s="16">
        <f>IFERROR(H238/COUNTA($B$1:$G$1),0)</f>
      </c>
    </row>
    <row r="239" spans="1:9" x14ac:dyDescent="0.25">
      <c r="A239" s="14">
        <v>46260.25</v>
      </c>
      <c r="H239" s="15">
        <f>COUNTA(B239:G239)</f>
      </c>
      <c r="I239" s="16">
        <f>IFERROR(H239/COUNTA($B$1:$G$1),0)</f>
      </c>
    </row>
    <row r="240" spans="1:9" x14ac:dyDescent="0.25">
      <c r="A240" s="14">
        <v>46261.25</v>
      </c>
      <c r="H240" s="15">
        <f>COUNTA(B240:G240)</f>
      </c>
      <c r="I240" s="16">
        <f>IFERROR(H240/COUNTA($B$1:$G$1),0)</f>
      </c>
    </row>
    <row r="241" spans="1:9" x14ac:dyDescent="0.25">
      <c r="A241" s="14">
        <v>46262.25</v>
      </c>
      <c r="H241" s="15">
        <f>COUNTA(B241:G241)</f>
      </c>
      <c r="I241" s="16">
        <f>IFERROR(H241/COUNTA($B$1:$G$1),0)</f>
      </c>
    </row>
    <row r="242" spans="1:9" x14ac:dyDescent="0.25">
      <c r="A242" s="14">
        <v>46263.25</v>
      </c>
      <c r="H242" s="15">
        <f>COUNTA(B242:G242)</f>
      </c>
      <c r="I242" s="16">
        <f>IFERROR(H242/COUNTA($B$1:$G$1),0)</f>
      </c>
    </row>
    <row r="243" spans="1:9" x14ac:dyDescent="0.25">
      <c r="A243" s="14">
        <v>46264.25</v>
      </c>
      <c r="H243" s="15">
        <f>COUNTA(B243:G243)</f>
      </c>
      <c r="I243" s="16">
        <f>IFERROR(H243/COUNTA($B$1:$G$1),0)</f>
      </c>
    </row>
    <row r="244" spans="1:9" x14ac:dyDescent="0.25">
      <c r="A244" s="14">
        <v>46265.25</v>
      </c>
      <c r="H244" s="15">
        <f>COUNTA(B244:G244)</f>
      </c>
      <c r="I244" s="16">
        <f>IFERROR(H244/COUNTA($B$1:$G$1),0)</f>
      </c>
    </row>
    <row r="245" spans="1:9" x14ac:dyDescent="0.25">
      <c r="A245" s="14">
        <v>46266.25</v>
      </c>
      <c r="H245" s="15">
        <f>COUNTA(B245:G245)</f>
      </c>
      <c r="I245" s="16">
        <f>IFERROR(H245/COUNTA($B$1:$G$1),0)</f>
      </c>
    </row>
    <row r="246" spans="1:9" x14ac:dyDescent="0.25">
      <c r="A246" s="14">
        <v>46267.25</v>
      </c>
      <c r="H246" s="15">
        <f>COUNTA(B246:G246)</f>
      </c>
      <c r="I246" s="16">
        <f>IFERROR(H246/COUNTA($B$1:$G$1),0)</f>
      </c>
    </row>
    <row r="247" spans="1:9" x14ac:dyDescent="0.25">
      <c r="A247" s="14">
        <v>46268.25</v>
      </c>
      <c r="H247" s="15">
        <f>COUNTA(B247:G247)</f>
      </c>
      <c r="I247" s="16">
        <f>IFERROR(H247/COUNTA($B$1:$G$1),0)</f>
      </c>
    </row>
    <row r="248" spans="1:9" x14ac:dyDescent="0.25">
      <c r="A248" s="14">
        <v>46269.25</v>
      </c>
      <c r="H248" s="15">
        <f>COUNTA(B248:G248)</f>
      </c>
      <c r="I248" s="16">
        <f>IFERROR(H248/COUNTA($B$1:$G$1),0)</f>
      </c>
    </row>
    <row r="249" spans="1:9" x14ac:dyDescent="0.25">
      <c r="A249" s="14">
        <v>46270.25</v>
      </c>
      <c r="H249" s="15">
        <f>COUNTA(B249:G249)</f>
      </c>
      <c r="I249" s="16">
        <f>IFERROR(H249/COUNTA($B$1:$G$1),0)</f>
      </c>
    </row>
    <row r="250" spans="1:9" x14ac:dyDescent="0.25">
      <c r="A250" s="14">
        <v>46271.25</v>
      </c>
      <c r="H250" s="15">
        <f>COUNTA(B250:G250)</f>
      </c>
      <c r="I250" s="16">
        <f>IFERROR(H250/COUNTA($B$1:$G$1),0)</f>
      </c>
    </row>
    <row r="251" spans="1:9" x14ac:dyDescent="0.25">
      <c r="A251" s="14">
        <v>46272.25</v>
      </c>
      <c r="H251" s="15">
        <f>COUNTA(B251:G251)</f>
      </c>
      <c r="I251" s="16">
        <f>IFERROR(H251/COUNTA($B$1:$G$1),0)</f>
      </c>
    </row>
    <row r="252" spans="1:9" x14ac:dyDescent="0.25">
      <c r="A252" s="14">
        <v>46273.25</v>
      </c>
      <c r="H252" s="15">
        <f>COUNTA(B252:G252)</f>
      </c>
      <c r="I252" s="16">
        <f>IFERROR(H252/COUNTA($B$1:$G$1),0)</f>
      </c>
    </row>
    <row r="253" spans="1:9" x14ac:dyDescent="0.25">
      <c r="A253" s="14">
        <v>46274.25</v>
      </c>
      <c r="H253" s="15">
        <f>COUNTA(B253:G253)</f>
      </c>
      <c r="I253" s="16">
        <f>IFERROR(H253/COUNTA($B$1:$G$1),0)</f>
      </c>
    </row>
    <row r="254" spans="1:9" x14ac:dyDescent="0.25">
      <c r="A254" s="14">
        <v>46275.25</v>
      </c>
      <c r="H254" s="15">
        <f>COUNTA(B254:G254)</f>
      </c>
      <c r="I254" s="16">
        <f>IFERROR(H254/COUNTA($B$1:$G$1),0)</f>
      </c>
    </row>
    <row r="255" spans="1:9" x14ac:dyDescent="0.25">
      <c r="A255" s="14">
        <v>46276.25</v>
      </c>
      <c r="H255" s="15">
        <f>COUNTA(B255:G255)</f>
      </c>
      <c r="I255" s="16">
        <f>IFERROR(H255/COUNTA($B$1:$G$1),0)</f>
      </c>
    </row>
    <row r="256" spans="1:9" x14ac:dyDescent="0.25">
      <c r="A256" s="14">
        <v>46277.25</v>
      </c>
      <c r="H256" s="15">
        <f>COUNTA(B256:G256)</f>
      </c>
      <c r="I256" s="16">
        <f>IFERROR(H256/COUNTA($B$1:$G$1),0)</f>
      </c>
    </row>
    <row r="257" spans="1:9" x14ac:dyDescent="0.25">
      <c r="A257" s="14">
        <v>46278.25</v>
      </c>
      <c r="H257" s="15">
        <f>COUNTA(B257:G257)</f>
      </c>
      <c r="I257" s="16">
        <f>IFERROR(H257/COUNTA($B$1:$G$1),0)</f>
      </c>
    </row>
    <row r="258" spans="1:9" x14ac:dyDescent="0.25">
      <c r="A258" s="14">
        <v>46279.25</v>
      </c>
      <c r="H258" s="15">
        <f>COUNTA(B258:G258)</f>
      </c>
      <c r="I258" s="16">
        <f>IFERROR(H258/COUNTA($B$1:$G$1),0)</f>
      </c>
    </row>
    <row r="259" spans="1:9" x14ac:dyDescent="0.25">
      <c r="A259" s="14">
        <v>46280.25</v>
      </c>
      <c r="H259" s="15">
        <f>COUNTA(B259:G259)</f>
      </c>
      <c r="I259" s="16">
        <f>IFERROR(H259/COUNTA($B$1:$G$1),0)</f>
      </c>
    </row>
    <row r="260" spans="1:9" x14ac:dyDescent="0.25">
      <c r="A260" s="14">
        <v>46281.25</v>
      </c>
      <c r="H260" s="15">
        <f>COUNTA(B260:G260)</f>
      </c>
      <c r="I260" s="16">
        <f>IFERROR(H260/COUNTA($B$1:$G$1),0)</f>
      </c>
    </row>
    <row r="261" spans="1:9" x14ac:dyDescent="0.25">
      <c r="A261" s="14">
        <v>46282.25</v>
      </c>
      <c r="H261" s="15">
        <f>COUNTA(B261:G261)</f>
      </c>
      <c r="I261" s="16">
        <f>IFERROR(H261/COUNTA($B$1:$G$1),0)</f>
      </c>
    </row>
    <row r="262" spans="1:9" x14ac:dyDescent="0.25">
      <c r="A262" s="14">
        <v>46283.25</v>
      </c>
      <c r="H262" s="15">
        <f>COUNTA(B262:G262)</f>
      </c>
      <c r="I262" s="16">
        <f>IFERROR(H262/COUNTA($B$1:$G$1),0)</f>
      </c>
    </row>
    <row r="263" spans="1:9" x14ac:dyDescent="0.25">
      <c r="A263" s="14">
        <v>46284.25</v>
      </c>
      <c r="H263" s="15">
        <f>COUNTA(B263:G263)</f>
      </c>
      <c r="I263" s="16">
        <f>IFERROR(H263/COUNTA($B$1:$G$1),0)</f>
      </c>
    </row>
    <row r="264" spans="1:9" x14ac:dyDescent="0.25">
      <c r="A264" s="14">
        <v>46285.25</v>
      </c>
      <c r="H264" s="15">
        <f>COUNTA(B264:G264)</f>
      </c>
      <c r="I264" s="16">
        <f>IFERROR(H264/COUNTA($B$1:$G$1),0)</f>
      </c>
    </row>
    <row r="265" spans="1:9" x14ac:dyDescent="0.25">
      <c r="A265" s="14">
        <v>46286.25</v>
      </c>
      <c r="H265" s="15">
        <f>COUNTA(B265:G265)</f>
      </c>
      <c r="I265" s="16">
        <f>IFERROR(H265/COUNTA($B$1:$G$1),0)</f>
      </c>
    </row>
    <row r="266" spans="1:9" x14ac:dyDescent="0.25">
      <c r="A266" s="14">
        <v>46287.25</v>
      </c>
      <c r="H266" s="15">
        <f>COUNTA(B266:G266)</f>
      </c>
      <c r="I266" s="16">
        <f>IFERROR(H266/COUNTA($B$1:$G$1),0)</f>
      </c>
    </row>
    <row r="267" spans="1:9" x14ac:dyDescent="0.25">
      <c r="A267" s="14">
        <v>46288.25</v>
      </c>
      <c r="H267" s="15">
        <f>COUNTA(B267:G267)</f>
      </c>
      <c r="I267" s="16">
        <f>IFERROR(H267/COUNTA($B$1:$G$1),0)</f>
      </c>
    </row>
    <row r="268" spans="1:9" x14ac:dyDescent="0.25">
      <c r="A268" s="14">
        <v>46289.25</v>
      </c>
      <c r="H268" s="15">
        <f>COUNTA(B268:G268)</f>
      </c>
      <c r="I268" s="16">
        <f>IFERROR(H268/COUNTA($B$1:$G$1),0)</f>
      </c>
    </row>
    <row r="269" spans="1:9" x14ac:dyDescent="0.25">
      <c r="A269" s="14">
        <v>46290.25</v>
      </c>
      <c r="H269" s="15">
        <f>COUNTA(B269:G269)</f>
      </c>
      <c r="I269" s="16">
        <f>IFERROR(H269/COUNTA($B$1:$G$1),0)</f>
      </c>
    </row>
    <row r="270" spans="1:9" x14ac:dyDescent="0.25">
      <c r="A270" s="14">
        <v>46291.25</v>
      </c>
      <c r="H270" s="15">
        <f>COUNTA(B270:G270)</f>
      </c>
      <c r="I270" s="16">
        <f>IFERROR(H270/COUNTA($B$1:$G$1),0)</f>
      </c>
    </row>
    <row r="271" spans="1:9" x14ac:dyDescent="0.25">
      <c r="A271" s="14">
        <v>46292.25</v>
      </c>
      <c r="H271" s="15">
        <f>COUNTA(B271:G271)</f>
      </c>
      <c r="I271" s="16">
        <f>IFERROR(H271/COUNTA($B$1:$G$1),0)</f>
      </c>
    </row>
    <row r="272" spans="1:9" x14ac:dyDescent="0.25">
      <c r="A272" s="14">
        <v>46293.25</v>
      </c>
      <c r="H272" s="15">
        <f>COUNTA(B272:G272)</f>
      </c>
      <c r="I272" s="16">
        <f>IFERROR(H272/COUNTA($B$1:$G$1),0)</f>
      </c>
    </row>
    <row r="273" spans="1:9" x14ac:dyDescent="0.25">
      <c r="A273" s="14">
        <v>46294.25</v>
      </c>
      <c r="H273" s="15">
        <f>COUNTA(B273:G273)</f>
      </c>
      <c r="I273" s="16">
        <f>IFERROR(H273/COUNTA($B$1:$G$1),0)</f>
      </c>
    </row>
    <row r="274" spans="1:9" x14ac:dyDescent="0.25">
      <c r="A274" s="14">
        <v>46295.25</v>
      </c>
      <c r="H274" s="15">
        <f>COUNTA(B274:G274)</f>
      </c>
      <c r="I274" s="16">
        <f>IFERROR(H274/COUNTA($B$1:$G$1),0)</f>
      </c>
    </row>
    <row r="275" spans="1:9" x14ac:dyDescent="0.25">
      <c r="A275" s="14">
        <v>46296.25</v>
      </c>
      <c r="H275" s="15">
        <f>COUNTA(B275:G275)</f>
      </c>
      <c r="I275" s="16">
        <f>IFERROR(H275/COUNTA($B$1:$G$1),0)</f>
      </c>
    </row>
    <row r="276" spans="1:9" x14ac:dyDescent="0.25">
      <c r="A276" s="14">
        <v>46297.25</v>
      </c>
      <c r="H276" s="15">
        <f>COUNTA(B276:G276)</f>
      </c>
      <c r="I276" s="16">
        <f>IFERROR(H276/COUNTA($B$1:$G$1),0)</f>
      </c>
    </row>
    <row r="277" spans="1:9" x14ac:dyDescent="0.25">
      <c r="A277" s="14">
        <v>46298.25</v>
      </c>
      <c r="H277" s="15">
        <f>COUNTA(B277:G277)</f>
      </c>
      <c r="I277" s="16">
        <f>IFERROR(H277/COUNTA($B$1:$G$1),0)</f>
      </c>
    </row>
    <row r="278" spans="1:9" x14ac:dyDescent="0.25">
      <c r="A278" s="14">
        <v>46299.25</v>
      </c>
      <c r="H278" s="15">
        <f>COUNTA(B278:G278)</f>
      </c>
      <c r="I278" s="16">
        <f>IFERROR(H278/COUNTA($B$1:$G$1),0)</f>
      </c>
    </row>
    <row r="279" spans="1:9" x14ac:dyDescent="0.25">
      <c r="A279" s="14">
        <v>46300.25</v>
      </c>
      <c r="H279" s="15">
        <f>COUNTA(B279:G279)</f>
      </c>
      <c r="I279" s="16">
        <f>IFERROR(H279/COUNTA($B$1:$G$1),0)</f>
      </c>
    </row>
    <row r="280" spans="1:9" x14ac:dyDescent="0.25">
      <c r="A280" s="14">
        <v>46301.25</v>
      </c>
      <c r="H280" s="15">
        <f>COUNTA(B280:G280)</f>
      </c>
      <c r="I280" s="16">
        <f>IFERROR(H280/COUNTA($B$1:$G$1),0)</f>
      </c>
    </row>
    <row r="281" spans="1:9" x14ac:dyDescent="0.25">
      <c r="A281" s="14">
        <v>46302.25</v>
      </c>
      <c r="H281" s="15">
        <f>COUNTA(B281:G281)</f>
      </c>
      <c r="I281" s="16">
        <f>IFERROR(H281/COUNTA($B$1:$G$1),0)</f>
      </c>
    </row>
    <row r="282" spans="1:9" x14ac:dyDescent="0.25">
      <c r="A282" s="14">
        <v>46303.25</v>
      </c>
      <c r="H282" s="15">
        <f>COUNTA(B282:G282)</f>
      </c>
      <c r="I282" s="16">
        <f>IFERROR(H282/COUNTA($B$1:$G$1),0)</f>
      </c>
    </row>
    <row r="283" spans="1:9" x14ac:dyDescent="0.25">
      <c r="A283" s="14">
        <v>46304.25</v>
      </c>
      <c r="H283" s="15">
        <f>COUNTA(B283:G283)</f>
      </c>
      <c r="I283" s="16">
        <f>IFERROR(H283/COUNTA($B$1:$G$1),0)</f>
      </c>
    </row>
    <row r="284" spans="1:9" x14ac:dyDescent="0.25">
      <c r="A284" s="14">
        <v>46305.25</v>
      </c>
      <c r="H284" s="15">
        <f>COUNTA(B284:G284)</f>
      </c>
      <c r="I284" s="16">
        <f>IFERROR(H284/COUNTA($B$1:$G$1),0)</f>
      </c>
    </row>
    <row r="285" spans="1:9" x14ac:dyDescent="0.25">
      <c r="A285" s="14">
        <v>46306.25</v>
      </c>
      <c r="H285" s="15">
        <f>COUNTA(B285:G285)</f>
      </c>
      <c r="I285" s="16">
        <f>IFERROR(H285/COUNTA($B$1:$G$1),0)</f>
      </c>
    </row>
    <row r="286" spans="1:9" x14ac:dyDescent="0.25">
      <c r="A286" s="14">
        <v>46307.25</v>
      </c>
      <c r="H286" s="15">
        <f>COUNTA(B286:G286)</f>
      </c>
      <c r="I286" s="16">
        <f>IFERROR(H286/COUNTA($B$1:$G$1),0)</f>
      </c>
    </row>
    <row r="287" spans="1:9" x14ac:dyDescent="0.25">
      <c r="A287" s="14">
        <v>46308.25</v>
      </c>
      <c r="H287" s="15">
        <f>COUNTA(B287:G287)</f>
      </c>
      <c r="I287" s="16">
        <f>IFERROR(H287/COUNTA($B$1:$G$1),0)</f>
      </c>
    </row>
    <row r="288" spans="1:9" x14ac:dyDescent="0.25">
      <c r="A288" s="14">
        <v>46309.25</v>
      </c>
      <c r="H288" s="15">
        <f>COUNTA(B288:G288)</f>
      </c>
      <c r="I288" s="16">
        <f>IFERROR(H288/COUNTA($B$1:$G$1),0)</f>
      </c>
    </row>
    <row r="289" spans="1:9" x14ac:dyDescent="0.25">
      <c r="A289" s="14">
        <v>46310.25</v>
      </c>
      <c r="H289" s="15">
        <f>COUNTA(B289:G289)</f>
      </c>
      <c r="I289" s="16">
        <f>IFERROR(H289/COUNTA($B$1:$G$1),0)</f>
      </c>
    </row>
    <row r="290" spans="1:9" x14ac:dyDescent="0.25">
      <c r="A290" s="14">
        <v>46311.25</v>
      </c>
      <c r="H290" s="15">
        <f>COUNTA(B290:G290)</f>
      </c>
      <c r="I290" s="16">
        <f>IFERROR(H290/COUNTA($B$1:$G$1),0)</f>
      </c>
    </row>
    <row r="291" spans="1:9" x14ac:dyDescent="0.25">
      <c r="A291" s="14">
        <v>46312.25</v>
      </c>
      <c r="H291" s="15">
        <f>COUNTA(B291:G291)</f>
      </c>
      <c r="I291" s="16">
        <f>IFERROR(H291/COUNTA($B$1:$G$1),0)</f>
      </c>
    </row>
    <row r="292" spans="1:9" x14ac:dyDescent="0.25">
      <c r="A292" s="14">
        <v>46313.25</v>
      </c>
      <c r="H292" s="15">
        <f>COUNTA(B292:G292)</f>
      </c>
      <c r="I292" s="16">
        <f>IFERROR(H292/COUNTA($B$1:$G$1),0)</f>
      </c>
    </row>
    <row r="293" spans="1:9" x14ac:dyDescent="0.25">
      <c r="A293" s="14">
        <v>46314.25</v>
      </c>
      <c r="H293" s="15">
        <f>COUNTA(B293:G293)</f>
      </c>
      <c r="I293" s="16">
        <f>IFERROR(H293/COUNTA($B$1:$G$1),0)</f>
      </c>
    </row>
    <row r="294" spans="1:9" x14ac:dyDescent="0.25">
      <c r="A294" s="14">
        <v>46315.25</v>
      </c>
      <c r="H294" s="15">
        <f>COUNTA(B294:G294)</f>
      </c>
      <c r="I294" s="16">
        <f>IFERROR(H294/COUNTA($B$1:$G$1),0)</f>
      </c>
    </row>
    <row r="295" spans="1:9" x14ac:dyDescent="0.25">
      <c r="A295" s="14">
        <v>46316.25</v>
      </c>
      <c r="H295" s="15">
        <f>COUNTA(B295:G295)</f>
      </c>
      <c r="I295" s="16">
        <f>IFERROR(H295/COUNTA($B$1:$G$1),0)</f>
      </c>
    </row>
    <row r="296" spans="1:9" x14ac:dyDescent="0.25">
      <c r="A296" s="14">
        <v>46317.25</v>
      </c>
      <c r="H296" s="15">
        <f>COUNTA(B296:G296)</f>
      </c>
      <c r="I296" s="16">
        <f>IFERROR(H296/COUNTA($B$1:$G$1),0)</f>
      </c>
    </row>
    <row r="297" spans="1:9" x14ac:dyDescent="0.25">
      <c r="A297" s="14">
        <v>46318.25</v>
      </c>
      <c r="H297" s="15">
        <f>COUNTA(B297:G297)</f>
      </c>
      <c r="I297" s="16">
        <f>IFERROR(H297/COUNTA($B$1:$G$1),0)</f>
      </c>
    </row>
    <row r="298" spans="1:9" x14ac:dyDescent="0.25">
      <c r="A298" s="14">
        <v>46319.25</v>
      </c>
      <c r="H298" s="15">
        <f>COUNTA(B298:G298)</f>
      </c>
      <c r="I298" s="16">
        <f>IFERROR(H298/COUNTA($B$1:$G$1),0)</f>
      </c>
    </row>
    <row r="299" spans="1:9" x14ac:dyDescent="0.25">
      <c r="A299" s="14">
        <v>46320.25</v>
      </c>
      <c r="H299" s="15">
        <f>COUNTA(B299:G299)</f>
      </c>
      <c r="I299" s="16">
        <f>IFERROR(H299/COUNTA($B$1:$G$1),0)</f>
      </c>
    </row>
    <row r="300" spans="1:9" x14ac:dyDescent="0.25">
      <c r="A300" s="14">
        <v>46321.25</v>
      </c>
      <c r="H300" s="15">
        <f>COUNTA(B300:G300)</f>
      </c>
      <c r="I300" s="16">
        <f>IFERROR(H300/COUNTA($B$1:$G$1),0)</f>
      </c>
    </row>
    <row r="301" spans="1:9" x14ac:dyDescent="0.25">
      <c r="A301" s="14">
        <v>46322.25</v>
      </c>
      <c r="H301" s="15">
        <f>COUNTA(B301:G301)</f>
      </c>
      <c r="I301" s="16">
        <f>IFERROR(H301/COUNTA($B$1:$G$1),0)</f>
      </c>
    </row>
    <row r="302" spans="1:9" x14ac:dyDescent="0.25">
      <c r="A302" s="14">
        <v>46323.25</v>
      </c>
      <c r="H302" s="15">
        <f>COUNTA(B302:G302)</f>
      </c>
      <c r="I302" s="16">
        <f>IFERROR(H302/COUNTA($B$1:$G$1),0)</f>
      </c>
    </row>
    <row r="303" spans="1:9" x14ac:dyDescent="0.25">
      <c r="A303" s="14">
        <v>46324.25</v>
      </c>
      <c r="H303" s="15">
        <f>COUNTA(B303:G303)</f>
      </c>
      <c r="I303" s="16">
        <f>IFERROR(H303/COUNTA($B$1:$G$1),0)</f>
      </c>
    </row>
    <row r="304" spans="1:9" x14ac:dyDescent="0.25">
      <c r="A304" s="14">
        <v>46325.25</v>
      </c>
      <c r="H304" s="15">
        <f>COUNTA(B304:G304)</f>
      </c>
      <c r="I304" s="16">
        <f>IFERROR(H304/COUNTA($B$1:$G$1),0)</f>
      </c>
    </row>
    <row r="305" spans="1:9" x14ac:dyDescent="0.25">
      <c r="A305" s="14">
        <v>46326.25</v>
      </c>
      <c r="H305" s="15">
        <f>COUNTA(B305:G305)</f>
      </c>
      <c r="I305" s="16">
        <f>IFERROR(H305/COUNTA($B$1:$G$1),0)</f>
      </c>
    </row>
    <row r="306" spans="1:9" x14ac:dyDescent="0.25">
      <c r="A306" s="14">
        <v>46327.25</v>
      </c>
      <c r="H306" s="15">
        <f>COUNTA(B306:G306)</f>
      </c>
      <c r="I306" s="16">
        <f>IFERROR(H306/COUNTA($B$1:$G$1),0)</f>
      </c>
    </row>
    <row r="307" spans="1:9" x14ac:dyDescent="0.25">
      <c r="A307" s="14">
        <v>46328.25</v>
      </c>
      <c r="H307" s="15">
        <f>COUNTA(B307:G307)</f>
      </c>
      <c r="I307" s="16">
        <f>IFERROR(H307/COUNTA($B$1:$G$1),0)</f>
      </c>
    </row>
    <row r="308" spans="1:9" x14ac:dyDescent="0.25">
      <c r="A308" s="14">
        <v>46329.25</v>
      </c>
      <c r="H308" s="15">
        <f>COUNTA(B308:G308)</f>
      </c>
      <c r="I308" s="16">
        <f>IFERROR(H308/COUNTA($B$1:$G$1),0)</f>
      </c>
    </row>
    <row r="309" spans="1:9" x14ac:dyDescent="0.25">
      <c r="A309" s="14">
        <v>46330.25</v>
      </c>
      <c r="H309" s="15">
        <f>COUNTA(B309:G309)</f>
      </c>
      <c r="I309" s="16">
        <f>IFERROR(H309/COUNTA($B$1:$G$1),0)</f>
      </c>
    </row>
    <row r="310" spans="1:9" x14ac:dyDescent="0.25">
      <c r="A310" s="14">
        <v>46331.25</v>
      </c>
      <c r="H310" s="15">
        <f>COUNTA(B310:G310)</f>
      </c>
      <c r="I310" s="16">
        <f>IFERROR(H310/COUNTA($B$1:$G$1),0)</f>
      </c>
    </row>
    <row r="311" spans="1:9" x14ac:dyDescent="0.25">
      <c r="A311" s="14">
        <v>46332.25</v>
      </c>
      <c r="H311" s="15">
        <f>COUNTA(B311:G311)</f>
      </c>
      <c r="I311" s="16">
        <f>IFERROR(H311/COUNTA($B$1:$G$1),0)</f>
      </c>
    </row>
    <row r="312" spans="1:9" x14ac:dyDescent="0.25">
      <c r="A312" s="14">
        <v>46333.25</v>
      </c>
      <c r="H312" s="15">
        <f>COUNTA(B312:G312)</f>
      </c>
      <c r="I312" s="16">
        <f>IFERROR(H312/COUNTA($B$1:$G$1),0)</f>
      </c>
    </row>
    <row r="313" spans="1:9" x14ac:dyDescent="0.25">
      <c r="A313" s="14">
        <v>46334.25</v>
      </c>
      <c r="H313" s="15">
        <f>COUNTA(B313:G313)</f>
      </c>
      <c r="I313" s="16">
        <f>IFERROR(H313/COUNTA($B$1:$G$1),0)</f>
      </c>
    </row>
    <row r="314" spans="1:9" x14ac:dyDescent="0.25">
      <c r="A314" s="14">
        <v>46335.25</v>
      </c>
      <c r="H314" s="15">
        <f>COUNTA(B314:G314)</f>
      </c>
      <c r="I314" s="16">
        <f>IFERROR(H314/COUNTA($B$1:$G$1),0)</f>
      </c>
    </row>
    <row r="315" spans="1:9" x14ac:dyDescent="0.25">
      <c r="A315" s="14">
        <v>46336.25</v>
      </c>
      <c r="H315" s="15">
        <f>COUNTA(B315:G315)</f>
      </c>
      <c r="I315" s="16">
        <f>IFERROR(H315/COUNTA($B$1:$G$1),0)</f>
      </c>
    </row>
    <row r="316" spans="1:9" x14ac:dyDescent="0.25">
      <c r="A316" s="14">
        <v>46337.25</v>
      </c>
      <c r="H316" s="15">
        <f>COUNTA(B316:G316)</f>
      </c>
      <c r="I316" s="16">
        <f>IFERROR(H316/COUNTA($B$1:$G$1),0)</f>
      </c>
    </row>
    <row r="317" spans="1:9" x14ac:dyDescent="0.25">
      <c r="A317" s="14">
        <v>46338.25</v>
      </c>
      <c r="H317" s="15">
        <f>COUNTA(B317:G317)</f>
      </c>
      <c r="I317" s="16">
        <f>IFERROR(H317/COUNTA($B$1:$G$1),0)</f>
      </c>
    </row>
    <row r="318" spans="1:9" x14ac:dyDescent="0.25">
      <c r="A318" s="14">
        <v>46339.25</v>
      </c>
      <c r="H318" s="15">
        <f>COUNTA(B318:G318)</f>
      </c>
      <c r="I318" s="16">
        <f>IFERROR(H318/COUNTA($B$1:$G$1),0)</f>
      </c>
    </row>
    <row r="319" spans="1:9" x14ac:dyDescent="0.25">
      <c r="A319" s="14">
        <v>46340.25</v>
      </c>
      <c r="H319" s="15">
        <f>COUNTA(B319:G319)</f>
      </c>
      <c r="I319" s="16">
        <f>IFERROR(H319/COUNTA($B$1:$G$1),0)</f>
      </c>
    </row>
    <row r="320" spans="1:9" x14ac:dyDescent="0.25">
      <c r="A320" s="14">
        <v>46341.25</v>
      </c>
      <c r="H320" s="15">
        <f>COUNTA(B320:G320)</f>
      </c>
      <c r="I320" s="16">
        <f>IFERROR(H320/COUNTA($B$1:$G$1),0)</f>
      </c>
    </row>
    <row r="321" spans="1:9" x14ac:dyDescent="0.25">
      <c r="A321" s="14">
        <v>46342.25</v>
      </c>
      <c r="H321" s="15">
        <f>COUNTA(B321:G321)</f>
      </c>
      <c r="I321" s="16">
        <f>IFERROR(H321/COUNTA($B$1:$G$1),0)</f>
      </c>
    </row>
    <row r="322" spans="1:9" x14ac:dyDescent="0.25">
      <c r="A322" s="14">
        <v>46343.25</v>
      </c>
      <c r="H322" s="15">
        <f>COUNTA(B322:G322)</f>
      </c>
      <c r="I322" s="16">
        <f>IFERROR(H322/COUNTA($B$1:$G$1),0)</f>
      </c>
    </row>
    <row r="323" spans="1:9" x14ac:dyDescent="0.25">
      <c r="A323" s="14">
        <v>46344.25</v>
      </c>
      <c r="H323" s="15">
        <f>COUNTA(B323:G323)</f>
      </c>
      <c r="I323" s="16">
        <f>IFERROR(H323/COUNTA($B$1:$G$1),0)</f>
      </c>
    </row>
    <row r="324" spans="1:9" x14ac:dyDescent="0.25">
      <c r="A324" s="14">
        <v>46345.25</v>
      </c>
      <c r="H324" s="15">
        <f>COUNTA(B324:G324)</f>
      </c>
      <c r="I324" s="16">
        <f>IFERROR(H324/COUNTA($B$1:$G$1),0)</f>
      </c>
    </row>
    <row r="325" spans="1:9" x14ac:dyDescent="0.25">
      <c r="A325" s="14">
        <v>46346.25</v>
      </c>
      <c r="H325" s="15">
        <f>COUNTA(B325:G325)</f>
      </c>
      <c r="I325" s="16">
        <f>IFERROR(H325/COUNTA($B$1:$G$1),0)</f>
      </c>
    </row>
    <row r="326" spans="1:9" x14ac:dyDescent="0.25">
      <c r="A326" s="14">
        <v>46347.25</v>
      </c>
      <c r="H326" s="15">
        <f>COUNTA(B326:G326)</f>
      </c>
      <c r="I326" s="16">
        <f>IFERROR(H326/COUNTA($B$1:$G$1),0)</f>
      </c>
    </row>
    <row r="327" spans="1:9" x14ac:dyDescent="0.25">
      <c r="A327" s="14">
        <v>46348.25</v>
      </c>
      <c r="H327" s="15">
        <f>COUNTA(B327:G327)</f>
      </c>
      <c r="I327" s="16">
        <f>IFERROR(H327/COUNTA($B$1:$G$1),0)</f>
      </c>
    </row>
    <row r="328" spans="1:9" x14ac:dyDescent="0.25">
      <c r="A328" s="14">
        <v>46349.25</v>
      </c>
      <c r="H328" s="15">
        <f>COUNTA(B328:G328)</f>
      </c>
      <c r="I328" s="16">
        <f>IFERROR(H328/COUNTA($B$1:$G$1),0)</f>
      </c>
    </row>
    <row r="329" spans="1:9" x14ac:dyDescent="0.25">
      <c r="A329" s="14">
        <v>46350.25</v>
      </c>
      <c r="H329" s="15">
        <f>COUNTA(B329:G329)</f>
      </c>
      <c r="I329" s="16">
        <f>IFERROR(H329/COUNTA($B$1:$G$1),0)</f>
      </c>
    </row>
    <row r="330" spans="1:9" x14ac:dyDescent="0.25">
      <c r="A330" s="14">
        <v>46351.25</v>
      </c>
      <c r="H330" s="15">
        <f>COUNTA(B330:G330)</f>
      </c>
      <c r="I330" s="16">
        <f>IFERROR(H330/COUNTA($B$1:$G$1),0)</f>
      </c>
    </row>
    <row r="331" spans="1:9" x14ac:dyDescent="0.25">
      <c r="A331" s="14">
        <v>46352.25</v>
      </c>
      <c r="H331" s="15">
        <f>COUNTA(B331:G331)</f>
      </c>
      <c r="I331" s="16">
        <f>IFERROR(H331/COUNTA($B$1:$G$1),0)</f>
      </c>
    </row>
    <row r="332" spans="1:9" x14ac:dyDescent="0.25">
      <c r="A332" s="14">
        <v>46353.25</v>
      </c>
      <c r="H332" s="15">
        <f>COUNTA(B332:G332)</f>
      </c>
      <c r="I332" s="16">
        <f>IFERROR(H332/COUNTA($B$1:$G$1),0)</f>
      </c>
    </row>
    <row r="333" spans="1:9" x14ac:dyDescent="0.25">
      <c r="A333" s="14">
        <v>46354.25</v>
      </c>
      <c r="H333" s="15">
        <f>COUNTA(B333:G333)</f>
      </c>
      <c r="I333" s="16">
        <f>IFERROR(H333/COUNTA($B$1:$G$1),0)</f>
      </c>
    </row>
    <row r="334" spans="1:9" x14ac:dyDescent="0.25">
      <c r="A334" s="14">
        <v>46355.25</v>
      </c>
      <c r="H334" s="15">
        <f>COUNTA(B334:G334)</f>
      </c>
      <c r="I334" s="16">
        <f>IFERROR(H334/COUNTA($B$1:$G$1),0)</f>
      </c>
    </row>
    <row r="335" spans="1:9" x14ac:dyDescent="0.25">
      <c r="A335" s="14">
        <v>46356.25</v>
      </c>
      <c r="H335" s="15">
        <f>COUNTA(B335:G335)</f>
      </c>
      <c r="I335" s="16">
        <f>IFERROR(H335/COUNTA($B$1:$G$1),0)</f>
      </c>
    </row>
    <row r="336" spans="1:9" x14ac:dyDescent="0.25">
      <c r="A336" s="14">
        <v>46357.25</v>
      </c>
      <c r="H336" s="15">
        <f>COUNTA(B336:G336)</f>
      </c>
      <c r="I336" s="16">
        <f>IFERROR(H336/COUNTA($B$1:$G$1),0)</f>
      </c>
    </row>
    <row r="337" spans="1:9" x14ac:dyDescent="0.25">
      <c r="A337" s="14">
        <v>46358.25</v>
      </c>
      <c r="H337" s="15">
        <f>COUNTA(B337:G337)</f>
      </c>
      <c r="I337" s="16">
        <f>IFERROR(H337/COUNTA($B$1:$G$1),0)</f>
      </c>
    </row>
    <row r="338" spans="1:9" x14ac:dyDescent="0.25">
      <c r="A338" s="14">
        <v>46359.25</v>
      </c>
      <c r="H338" s="15">
        <f>COUNTA(B338:G338)</f>
      </c>
      <c r="I338" s="16">
        <f>IFERROR(H338/COUNTA($B$1:$G$1),0)</f>
      </c>
    </row>
    <row r="339" spans="1:9" x14ac:dyDescent="0.25">
      <c r="A339" s="14">
        <v>46360.25</v>
      </c>
      <c r="H339" s="15">
        <f>COUNTA(B339:G339)</f>
      </c>
      <c r="I339" s="16">
        <f>IFERROR(H339/COUNTA($B$1:$G$1),0)</f>
      </c>
    </row>
    <row r="340" spans="1:9" x14ac:dyDescent="0.25">
      <c r="A340" s="14">
        <v>46361.25</v>
      </c>
      <c r="H340" s="15">
        <f>COUNTA(B340:G340)</f>
      </c>
      <c r="I340" s="16">
        <f>IFERROR(H340/COUNTA($B$1:$G$1),0)</f>
      </c>
    </row>
    <row r="341" spans="1:9" x14ac:dyDescent="0.25">
      <c r="A341" s="14">
        <v>46362.25</v>
      </c>
      <c r="H341" s="15">
        <f>COUNTA(B341:G341)</f>
      </c>
      <c r="I341" s="16">
        <f>IFERROR(H341/COUNTA($B$1:$G$1),0)</f>
      </c>
    </row>
    <row r="342" spans="1:9" x14ac:dyDescent="0.25">
      <c r="A342" s="14">
        <v>46363.25</v>
      </c>
      <c r="H342" s="15">
        <f>COUNTA(B342:G342)</f>
      </c>
      <c r="I342" s="16">
        <f>IFERROR(H342/COUNTA($B$1:$G$1),0)</f>
      </c>
    </row>
    <row r="343" spans="1:9" x14ac:dyDescent="0.25">
      <c r="A343" s="14">
        <v>46364.25</v>
      </c>
      <c r="H343" s="15">
        <f>COUNTA(B343:G343)</f>
      </c>
      <c r="I343" s="16">
        <f>IFERROR(H343/COUNTA($B$1:$G$1),0)</f>
      </c>
    </row>
    <row r="344" spans="1:9" x14ac:dyDescent="0.25">
      <c r="A344" s="14">
        <v>46365.25</v>
      </c>
      <c r="H344" s="15">
        <f>COUNTA(B344:G344)</f>
      </c>
      <c r="I344" s="16">
        <f>IFERROR(H344/COUNTA($B$1:$G$1),0)</f>
      </c>
    </row>
    <row r="345" spans="1:9" x14ac:dyDescent="0.25">
      <c r="A345" s="14">
        <v>46366.25</v>
      </c>
      <c r="H345" s="15">
        <f>COUNTA(B345:G345)</f>
      </c>
      <c r="I345" s="16">
        <f>IFERROR(H345/COUNTA($B$1:$G$1),0)</f>
      </c>
    </row>
    <row r="346" spans="1:9" x14ac:dyDescent="0.25">
      <c r="A346" s="14">
        <v>46367.25</v>
      </c>
      <c r="H346" s="15">
        <f>COUNTA(B346:G346)</f>
      </c>
      <c r="I346" s="16">
        <f>IFERROR(H346/COUNTA($B$1:$G$1),0)</f>
      </c>
    </row>
    <row r="347" spans="1:9" x14ac:dyDescent="0.25">
      <c r="A347" s="14">
        <v>46368.25</v>
      </c>
      <c r="H347" s="15">
        <f>COUNTA(B347:G347)</f>
      </c>
      <c r="I347" s="16">
        <f>IFERROR(H347/COUNTA($B$1:$G$1),0)</f>
      </c>
    </row>
    <row r="348" spans="1:9" x14ac:dyDescent="0.25">
      <c r="A348" s="14">
        <v>46369.25</v>
      </c>
      <c r="H348" s="15">
        <f>COUNTA(B348:G348)</f>
      </c>
      <c r="I348" s="16">
        <f>IFERROR(H348/COUNTA($B$1:$G$1),0)</f>
      </c>
    </row>
    <row r="349" spans="1:9" x14ac:dyDescent="0.25">
      <c r="A349" s="14">
        <v>46370.25</v>
      </c>
      <c r="H349" s="15">
        <f>COUNTA(B349:G349)</f>
      </c>
      <c r="I349" s="16">
        <f>IFERROR(H349/COUNTA($B$1:$G$1),0)</f>
      </c>
    </row>
    <row r="350" spans="1:9" x14ac:dyDescent="0.25">
      <c r="A350" s="14">
        <v>46371.25</v>
      </c>
      <c r="H350" s="15">
        <f>COUNTA(B350:G350)</f>
      </c>
      <c r="I350" s="16">
        <f>IFERROR(H350/COUNTA($B$1:$G$1),0)</f>
      </c>
    </row>
    <row r="351" spans="1:9" x14ac:dyDescent="0.25">
      <c r="A351" s="14">
        <v>46372.25</v>
      </c>
      <c r="H351" s="15">
        <f>COUNTA(B351:G351)</f>
      </c>
      <c r="I351" s="16">
        <f>IFERROR(H351/COUNTA($B$1:$G$1),0)</f>
      </c>
    </row>
    <row r="352" spans="1:9" x14ac:dyDescent="0.25">
      <c r="A352" s="14">
        <v>46373.25</v>
      </c>
      <c r="H352" s="15">
        <f>COUNTA(B352:G352)</f>
      </c>
      <c r="I352" s="16">
        <f>IFERROR(H352/COUNTA($B$1:$G$1),0)</f>
      </c>
    </row>
    <row r="353" spans="1:9" x14ac:dyDescent="0.25">
      <c r="A353" s="14">
        <v>46374.25</v>
      </c>
      <c r="H353" s="15">
        <f>COUNTA(B353:G353)</f>
      </c>
      <c r="I353" s="16">
        <f>IFERROR(H353/COUNTA($B$1:$G$1),0)</f>
      </c>
    </row>
    <row r="354" spans="1:9" x14ac:dyDescent="0.25">
      <c r="A354" s="14">
        <v>46375.25</v>
      </c>
      <c r="H354" s="15">
        <f>COUNTA(B354:G354)</f>
      </c>
      <c r="I354" s="16">
        <f>IFERROR(H354/COUNTA($B$1:$G$1),0)</f>
      </c>
    </row>
    <row r="355" spans="1:9" x14ac:dyDescent="0.25">
      <c r="A355" s="14">
        <v>46376.25</v>
      </c>
      <c r="H355" s="15">
        <f>COUNTA(B355:G355)</f>
      </c>
      <c r="I355" s="16">
        <f>IFERROR(H355/COUNTA($B$1:$G$1),0)</f>
      </c>
    </row>
    <row r="356" spans="1:9" x14ac:dyDescent="0.25">
      <c r="A356" s="14">
        <v>46377.25</v>
      </c>
      <c r="H356" s="15">
        <f>COUNTA(B356:G356)</f>
      </c>
      <c r="I356" s="16">
        <f>IFERROR(H356/COUNTA($B$1:$G$1),0)</f>
      </c>
    </row>
    <row r="357" spans="1:9" x14ac:dyDescent="0.25">
      <c r="A357" s="14">
        <v>46378.25</v>
      </c>
      <c r="H357" s="15">
        <f>COUNTA(B357:G357)</f>
      </c>
      <c r="I357" s="16">
        <f>IFERROR(H357/COUNTA($B$1:$G$1),0)</f>
      </c>
    </row>
    <row r="358" spans="1:9" x14ac:dyDescent="0.25">
      <c r="A358" s="14">
        <v>46379.25</v>
      </c>
      <c r="H358" s="15">
        <f>COUNTA(B358:G358)</f>
      </c>
      <c r="I358" s="16">
        <f>IFERROR(H358/COUNTA($B$1:$G$1),0)</f>
      </c>
    </row>
    <row r="359" spans="1:9" x14ac:dyDescent="0.25">
      <c r="A359" s="14">
        <v>46380.25</v>
      </c>
      <c r="H359" s="15">
        <f>COUNTA(B359:G359)</f>
      </c>
      <c r="I359" s="16">
        <f>IFERROR(H359/COUNTA($B$1:$G$1),0)</f>
      </c>
    </row>
    <row r="360" spans="1:9" x14ac:dyDescent="0.25">
      <c r="A360" s="14">
        <v>46381.25</v>
      </c>
      <c r="H360" s="15">
        <f>COUNTA(B360:G360)</f>
      </c>
      <c r="I360" s="16">
        <f>IFERROR(H360/COUNTA($B$1:$G$1),0)</f>
      </c>
    </row>
    <row r="361" spans="1:9" x14ac:dyDescent="0.25">
      <c r="A361" s="14">
        <v>46382.25</v>
      </c>
      <c r="H361" s="15">
        <f>COUNTA(B361:G361)</f>
      </c>
      <c r="I361" s="16">
        <f>IFERROR(H361/COUNTA($B$1:$G$1),0)</f>
      </c>
    </row>
    <row r="362" spans="1:9" x14ac:dyDescent="0.25">
      <c r="A362" s="14">
        <v>46383.25</v>
      </c>
      <c r="H362" s="15">
        <f>COUNTA(B362:G362)</f>
      </c>
      <c r="I362" s="16">
        <f>IFERROR(H362/COUNTA($B$1:$G$1),0)</f>
      </c>
    </row>
    <row r="363" spans="1:9" x14ac:dyDescent="0.25">
      <c r="A363" s="14">
        <v>46384.25</v>
      </c>
      <c r="H363" s="15">
        <f>COUNTA(B363:G363)</f>
      </c>
      <c r="I363" s="16">
        <f>IFERROR(H363/COUNTA($B$1:$G$1),0)</f>
      </c>
    </row>
    <row r="364" spans="1:9" x14ac:dyDescent="0.25">
      <c r="A364" s="14">
        <v>46385.25</v>
      </c>
      <c r="H364" s="15">
        <f>COUNTA(B364:G364)</f>
      </c>
      <c r="I364" s="16">
        <f>IFERROR(H364/COUNTA($B$1:$G$1),0)</f>
      </c>
    </row>
    <row r="365" spans="1:9" x14ac:dyDescent="0.25">
      <c r="A365" s="14">
        <v>46386.25</v>
      </c>
      <c r="H365" s="15">
        <f>COUNTA(B365:G365)</f>
      </c>
      <c r="I365" s="16">
        <f>IFERROR(H365/COUNTA($B$1:$G$1),0)</f>
      </c>
    </row>
    <row r="366" spans="1:9" x14ac:dyDescent="0.25">
      <c r="A366" s="14">
        <v>46387.25</v>
      </c>
      <c r="H366" s="15">
        <f>COUNTA(B366:G366)</f>
      </c>
      <c r="I366" s="16">
        <f>IFERROR(H366/COUNTA($B$1:$G$1),0)</f>
      </c>
    </row>
  </sheetData>
  <autoFilter ref="A1:I366"/>
  <conditionalFormatting sqref="B2:G366">
    <cfRule type="expression" dxfId="0" priority="1">
      <formula>B2&lt;&gt;""</formula>
    </cfRule>
  </conditionalFormatting>
  <conditionalFormatting sqref="A2:I366">
    <cfRule type="expression" dxfId="1" priority="2">
      <formula>$A2=TODAY()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4444"/>
  </sheetPr>
  <dimension ref="A1:G366"/>
  <sheetFormatPr defaultRowHeight="15" outlineLevelRow="0" outlineLevelCol="0" x14ac:dyDescent="55"/>
  <sheetData>
    <row r="1" spans="1:1" x14ac:dyDescent="0.25">
      <c r="A1" s="17">
        <v>46023.25</v>
      </c>
    </row>
    <row r="2" spans="1:7" x14ac:dyDescent="0.25">
      <c r="A2" s="14"/>
      <c r="B2">
        <f>IF(Registro!B2&lt;&gt;"",0+1,0)</f>
      </c>
      <c r="C2">
        <f>IF(Registro!C2&lt;&gt;"",0+1,0)</f>
      </c>
      <c r="D2">
        <f>IF(Registro!D2&lt;&gt;"",0+1,0)</f>
      </c>
      <c r="E2">
        <f>IF(Registro!E2&lt;&gt;"",0+1,0)</f>
      </c>
      <c r="F2">
        <f>IF(Registro!F2&lt;&gt;"",0+1,0)</f>
      </c>
      <c r="G2">
        <f>IF(Registro!G2&lt;&gt;"",0+1,0)</f>
      </c>
    </row>
    <row r="3" spans="1:7" x14ac:dyDescent="0.25">
      <c r="A3" s="14">
        <v>46024.25</v>
      </c>
      <c r="B3">
        <f>IF(Registro!B3&lt;&gt;"",B2+1,0)</f>
      </c>
      <c r="C3">
        <f>IF(Registro!C3&lt;&gt;"",C2+1,0)</f>
      </c>
      <c r="D3">
        <f>IF(Registro!D3&lt;&gt;"",D2+1,0)</f>
      </c>
      <c r="E3">
        <f>IF(Registro!E3&lt;&gt;"",E2+1,0)</f>
      </c>
      <c r="F3">
        <f>IF(Registro!F3&lt;&gt;"",F2+1,0)</f>
      </c>
      <c r="G3">
        <f>IF(Registro!G3&lt;&gt;"",G2+1,0)</f>
      </c>
    </row>
    <row r="4" spans="1:7" x14ac:dyDescent="0.25">
      <c r="A4" s="14">
        <v>46025.25</v>
      </c>
      <c r="B4">
        <f>IF(Registro!B4&lt;&gt;"",B3+1,0)</f>
      </c>
      <c r="C4">
        <f>IF(Registro!C4&lt;&gt;"",C3+1,0)</f>
      </c>
      <c r="D4">
        <f>IF(Registro!D4&lt;&gt;"",D3+1,0)</f>
      </c>
      <c r="E4">
        <f>IF(Registro!E4&lt;&gt;"",E3+1,0)</f>
      </c>
      <c r="F4">
        <f>IF(Registro!F4&lt;&gt;"",F3+1,0)</f>
      </c>
      <c r="G4">
        <f>IF(Registro!G4&lt;&gt;"",G3+1,0)</f>
      </c>
    </row>
    <row r="5" spans="1:7" x14ac:dyDescent="0.25">
      <c r="A5" s="14">
        <v>46026.25</v>
      </c>
      <c r="B5">
        <f>IF(Registro!B5&lt;&gt;"",B4+1,0)</f>
      </c>
      <c r="C5">
        <f>IF(Registro!C5&lt;&gt;"",C4+1,0)</f>
      </c>
      <c r="D5">
        <f>IF(Registro!D5&lt;&gt;"",D4+1,0)</f>
      </c>
      <c r="E5">
        <f>IF(Registro!E5&lt;&gt;"",E4+1,0)</f>
      </c>
      <c r="F5">
        <f>IF(Registro!F5&lt;&gt;"",F4+1,0)</f>
      </c>
      <c r="G5">
        <f>IF(Registro!G5&lt;&gt;"",G4+1,0)</f>
      </c>
    </row>
    <row r="6" spans="1:7" x14ac:dyDescent="0.25">
      <c r="A6" s="14">
        <v>46027.25</v>
      </c>
      <c r="B6">
        <f>IF(Registro!B6&lt;&gt;"",B5+1,0)</f>
      </c>
      <c r="C6">
        <f>IF(Registro!C6&lt;&gt;"",C5+1,0)</f>
      </c>
      <c r="D6">
        <f>IF(Registro!D6&lt;&gt;"",D5+1,0)</f>
      </c>
      <c r="E6">
        <f>IF(Registro!E6&lt;&gt;"",E5+1,0)</f>
      </c>
      <c r="F6">
        <f>IF(Registro!F6&lt;&gt;"",F5+1,0)</f>
      </c>
      <c r="G6">
        <f>IF(Registro!G6&lt;&gt;"",G5+1,0)</f>
      </c>
    </row>
    <row r="7" spans="1:7" x14ac:dyDescent="0.25">
      <c r="A7" s="14">
        <v>46028.25</v>
      </c>
      <c r="B7">
        <f>IF(Registro!B7&lt;&gt;"",B6+1,0)</f>
      </c>
      <c r="C7">
        <f>IF(Registro!C7&lt;&gt;"",C6+1,0)</f>
      </c>
      <c r="D7">
        <f>IF(Registro!D7&lt;&gt;"",D6+1,0)</f>
      </c>
      <c r="E7">
        <f>IF(Registro!E7&lt;&gt;"",E6+1,0)</f>
      </c>
      <c r="F7">
        <f>IF(Registro!F7&lt;&gt;"",F6+1,0)</f>
      </c>
      <c r="G7">
        <f>IF(Registro!G7&lt;&gt;"",G6+1,0)</f>
      </c>
    </row>
    <row r="8" spans="1:7" x14ac:dyDescent="0.25">
      <c r="A8" s="14">
        <v>46029.25</v>
      </c>
      <c r="B8">
        <f>IF(Registro!B8&lt;&gt;"",B7+1,0)</f>
      </c>
      <c r="C8">
        <f>IF(Registro!C8&lt;&gt;"",C7+1,0)</f>
      </c>
      <c r="D8">
        <f>IF(Registro!D8&lt;&gt;"",D7+1,0)</f>
      </c>
      <c r="E8">
        <f>IF(Registro!E8&lt;&gt;"",E7+1,0)</f>
      </c>
      <c r="F8">
        <f>IF(Registro!F8&lt;&gt;"",F7+1,0)</f>
      </c>
      <c r="G8">
        <f>IF(Registro!G8&lt;&gt;"",G7+1,0)</f>
      </c>
    </row>
    <row r="9" spans="1:7" x14ac:dyDescent="0.25">
      <c r="A9" s="14">
        <v>46030.25</v>
      </c>
      <c r="B9">
        <f>IF(Registro!B9&lt;&gt;"",B8+1,0)</f>
      </c>
      <c r="C9">
        <f>IF(Registro!C9&lt;&gt;"",C8+1,0)</f>
      </c>
      <c r="D9">
        <f>IF(Registro!D9&lt;&gt;"",D8+1,0)</f>
      </c>
      <c r="E9">
        <f>IF(Registro!E9&lt;&gt;"",E8+1,0)</f>
      </c>
      <c r="F9">
        <f>IF(Registro!F9&lt;&gt;"",F8+1,0)</f>
      </c>
      <c r="G9">
        <f>IF(Registro!G9&lt;&gt;"",G8+1,0)</f>
      </c>
    </row>
    <row r="10" spans="1:7" x14ac:dyDescent="0.25">
      <c r="A10" s="14">
        <v>46031.25</v>
      </c>
      <c r="B10">
        <f>IF(Registro!B10&lt;&gt;"",B9+1,0)</f>
      </c>
      <c r="C10">
        <f>IF(Registro!C10&lt;&gt;"",C9+1,0)</f>
      </c>
      <c r="D10">
        <f>IF(Registro!D10&lt;&gt;"",D9+1,0)</f>
      </c>
      <c r="E10">
        <f>IF(Registro!E10&lt;&gt;"",E9+1,0)</f>
      </c>
      <c r="F10">
        <f>IF(Registro!F10&lt;&gt;"",F9+1,0)</f>
      </c>
      <c r="G10">
        <f>IF(Registro!G10&lt;&gt;"",G9+1,0)</f>
      </c>
    </row>
    <row r="11" spans="1:7" x14ac:dyDescent="0.25">
      <c r="A11" s="14">
        <v>46032.25</v>
      </c>
      <c r="B11">
        <f>IF(Registro!B11&lt;&gt;"",B10+1,0)</f>
      </c>
      <c r="C11">
        <f>IF(Registro!C11&lt;&gt;"",C10+1,0)</f>
      </c>
      <c r="D11">
        <f>IF(Registro!D11&lt;&gt;"",D10+1,0)</f>
      </c>
      <c r="E11">
        <f>IF(Registro!E11&lt;&gt;"",E10+1,0)</f>
      </c>
      <c r="F11">
        <f>IF(Registro!F11&lt;&gt;"",F10+1,0)</f>
      </c>
      <c r="G11">
        <f>IF(Registro!G11&lt;&gt;"",G10+1,0)</f>
      </c>
    </row>
    <row r="12" spans="1:7" x14ac:dyDescent="0.25">
      <c r="A12" s="14">
        <v>46033.25</v>
      </c>
      <c r="B12">
        <f>IF(Registro!B12&lt;&gt;"",B11+1,0)</f>
      </c>
      <c r="C12">
        <f>IF(Registro!C12&lt;&gt;"",C11+1,0)</f>
      </c>
      <c r="D12">
        <f>IF(Registro!D12&lt;&gt;"",D11+1,0)</f>
      </c>
      <c r="E12">
        <f>IF(Registro!E12&lt;&gt;"",E11+1,0)</f>
      </c>
      <c r="F12">
        <f>IF(Registro!F12&lt;&gt;"",F11+1,0)</f>
      </c>
      <c r="G12">
        <f>IF(Registro!G12&lt;&gt;"",G11+1,0)</f>
      </c>
    </row>
    <row r="13" spans="1:7" x14ac:dyDescent="0.25">
      <c r="A13" s="14">
        <v>46034.25</v>
      </c>
      <c r="B13">
        <f>IF(Registro!B13&lt;&gt;"",B12+1,0)</f>
      </c>
      <c r="C13">
        <f>IF(Registro!C13&lt;&gt;"",C12+1,0)</f>
      </c>
      <c r="D13">
        <f>IF(Registro!D13&lt;&gt;"",D12+1,0)</f>
      </c>
      <c r="E13">
        <f>IF(Registro!E13&lt;&gt;"",E12+1,0)</f>
      </c>
      <c r="F13">
        <f>IF(Registro!F13&lt;&gt;"",F12+1,0)</f>
      </c>
      <c r="G13">
        <f>IF(Registro!G13&lt;&gt;"",G12+1,0)</f>
      </c>
    </row>
    <row r="14" spans="1:7" x14ac:dyDescent="0.25">
      <c r="A14" s="14">
        <v>46035.25</v>
      </c>
      <c r="B14">
        <f>IF(Registro!B14&lt;&gt;"",B13+1,0)</f>
      </c>
      <c r="C14">
        <f>IF(Registro!C14&lt;&gt;"",C13+1,0)</f>
      </c>
      <c r="D14">
        <f>IF(Registro!D14&lt;&gt;"",D13+1,0)</f>
      </c>
      <c r="E14">
        <f>IF(Registro!E14&lt;&gt;"",E13+1,0)</f>
      </c>
      <c r="F14">
        <f>IF(Registro!F14&lt;&gt;"",F13+1,0)</f>
      </c>
      <c r="G14">
        <f>IF(Registro!G14&lt;&gt;"",G13+1,0)</f>
      </c>
    </row>
    <row r="15" spans="1:7" x14ac:dyDescent="0.25">
      <c r="A15" s="14">
        <v>46036.25</v>
      </c>
      <c r="B15">
        <f>IF(Registro!B15&lt;&gt;"",B14+1,0)</f>
      </c>
      <c r="C15">
        <f>IF(Registro!C15&lt;&gt;"",C14+1,0)</f>
      </c>
      <c r="D15">
        <f>IF(Registro!D15&lt;&gt;"",D14+1,0)</f>
      </c>
      <c r="E15">
        <f>IF(Registro!E15&lt;&gt;"",E14+1,0)</f>
      </c>
      <c r="F15">
        <f>IF(Registro!F15&lt;&gt;"",F14+1,0)</f>
      </c>
      <c r="G15">
        <f>IF(Registro!G15&lt;&gt;"",G14+1,0)</f>
      </c>
    </row>
    <row r="16" spans="1:7" x14ac:dyDescent="0.25">
      <c r="A16" s="14">
        <v>46037.25</v>
      </c>
      <c r="B16">
        <f>IF(Registro!B16&lt;&gt;"",B15+1,0)</f>
      </c>
      <c r="C16">
        <f>IF(Registro!C16&lt;&gt;"",C15+1,0)</f>
      </c>
      <c r="D16">
        <f>IF(Registro!D16&lt;&gt;"",D15+1,0)</f>
      </c>
      <c r="E16">
        <f>IF(Registro!E16&lt;&gt;"",E15+1,0)</f>
      </c>
      <c r="F16">
        <f>IF(Registro!F16&lt;&gt;"",F15+1,0)</f>
      </c>
      <c r="G16">
        <f>IF(Registro!G16&lt;&gt;"",G15+1,0)</f>
      </c>
    </row>
    <row r="17" spans="1:7" x14ac:dyDescent="0.25">
      <c r="A17" s="14">
        <v>46038.25</v>
      </c>
      <c r="B17">
        <f>IF(Registro!B17&lt;&gt;"",B16+1,0)</f>
      </c>
      <c r="C17">
        <f>IF(Registro!C17&lt;&gt;"",C16+1,0)</f>
      </c>
      <c r="D17">
        <f>IF(Registro!D17&lt;&gt;"",D16+1,0)</f>
      </c>
      <c r="E17">
        <f>IF(Registro!E17&lt;&gt;"",E16+1,0)</f>
      </c>
      <c r="F17">
        <f>IF(Registro!F17&lt;&gt;"",F16+1,0)</f>
      </c>
      <c r="G17">
        <f>IF(Registro!G17&lt;&gt;"",G16+1,0)</f>
      </c>
    </row>
    <row r="18" spans="1:7" x14ac:dyDescent="0.25">
      <c r="A18" s="14">
        <v>46039.25</v>
      </c>
      <c r="B18">
        <f>IF(Registro!B18&lt;&gt;"",B17+1,0)</f>
      </c>
      <c r="C18">
        <f>IF(Registro!C18&lt;&gt;"",C17+1,0)</f>
      </c>
      <c r="D18">
        <f>IF(Registro!D18&lt;&gt;"",D17+1,0)</f>
      </c>
      <c r="E18">
        <f>IF(Registro!E18&lt;&gt;"",E17+1,0)</f>
      </c>
      <c r="F18">
        <f>IF(Registro!F18&lt;&gt;"",F17+1,0)</f>
      </c>
      <c r="G18">
        <f>IF(Registro!G18&lt;&gt;"",G17+1,0)</f>
      </c>
    </row>
    <row r="19" spans="1:7" x14ac:dyDescent="0.25">
      <c r="A19" s="14">
        <v>46040.25</v>
      </c>
      <c r="B19">
        <f>IF(Registro!B19&lt;&gt;"",B18+1,0)</f>
      </c>
      <c r="C19">
        <f>IF(Registro!C19&lt;&gt;"",C18+1,0)</f>
      </c>
      <c r="D19">
        <f>IF(Registro!D19&lt;&gt;"",D18+1,0)</f>
      </c>
      <c r="E19">
        <f>IF(Registro!E19&lt;&gt;"",E18+1,0)</f>
      </c>
      <c r="F19">
        <f>IF(Registro!F19&lt;&gt;"",F18+1,0)</f>
      </c>
      <c r="G19">
        <f>IF(Registro!G19&lt;&gt;"",G18+1,0)</f>
      </c>
    </row>
    <row r="20" spans="1:7" x14ac:dyDescent="0.25">
      <c r="A20" s="14">
        <v>46041.25</v>
      </c>
      <c r="B20">
        <f>IF(Registro!B20&lt;&gt;"",B19+1,0)</f>
      </c>
      <c r="C20">
        <f>IF(Registro!C20&lt;&gt;"",C19+1,0)</f>
      </c>
      <c r="D20">
        <f>IF(Registro!D20&lt;&gt;"",D19+1,0)</f>
      </c>
      <c r="E20">
        <f>IF(Registro!E20&lt;&gt;"",E19+1,0)</f>
      </c>
      <c r="F20">
        <f>IF(Registro!F20&lt;&gt;"",F19+1,0)</f>
      </c>
      <c r="G20">
        <f>IF(Registro!G20&lt;&gt;"",G19+1,0)</f>
      </c>
    </row>
    <row r="21" spans="1:7" x14ac:dyDescent="0.25">
      <c r="A21" s="14">
        <v>46042.25</v>
      </c>
      <c r="B21">
        <f>IF(Registro!B21&lt;&gt;"",B20+1,0)</f>
      </c>
      <c r="C21">
        <f>IF(Registro!C21&lt;&gt;"",C20+1,0)</f>
      </c>
      <c r="D21">
        <f>IF(Registro!D21&lt;&gt;"",D20+1,0)</f>
      </c>
      <c r="E21">
        <f>IF(Registro!E21&lt;&gt;"",E20+1,0)</f>
      </c>
      <c r="F21">
        <f>IF(Registro!F21&lt;&gt;"",F20+1,0)</f>
      </c>
      <c r="G21">
        <f>IF(Registro!G21&lt;&gt;"",G20+1,0)</f>
      </c>
    </row>
    <row r="22" spans="1:7" x14ac:dyDescent="0.25">
      <c r="A22" s="14">
        <v>46043.25</v>
      </c>
      <c r="B22">
        <f>IF(Registro!B22&lt;&gt;"",B21+1,0)</f>
      </c>
      <c r="C22">
        <f>IF(Registro!C22&lt;&gt;"",C21+1,0)</f>
      </c>
      <c r="D22">
        <f>IF(Registro!D22&lt;&gt;"",D21+1,0)</f>
      </c>
      <c r="E22">
        <f>IF(Registro!E22&lt;&gt;"",E21+1,0)</f>
      </c>
      <c r="F22">
        <f>IF(Registro!F22&lt;&gt;"",F21+1,0)</f>
      </c>
      <c r="G22">
        <f>IF(Registro!G22&lt;&gt;"",G21+1,0)</f>
      </c>
    </row>
    <row r="23" spans="1:7" x14ac:dyDescent="0.25">
      <c r="A23" s="14">
        <v>46044.25</v>
      </c>
      <c r="B23">
        <f>IF(Registro!B23&lt;&gt;"",B22+1,0)</f>
      </c>
      <c r="C23">
        <f>IF(Registro!C23&lt;&gt;"",C22+1,0)</f>
      </c>
      <c r="D23">
        <f>IF(Registro!D23&lt;&gt;"",D22+1,0)</f>
      </c>
      <c r="E23">
        <f>IF(Registro!E23&lt;&gt;"",E22+1,0)</f>
      </c>
      <c r="F23">
        <f>IF(Registro!F23&lt;&gt;"",F22+1,0)</f>
      </c>
      <c r="G23">
        <f>IF(Registro!G23&lt;&gt;"",G22+1,0)</f>
      </c>
    </row>
    <row r="24" spans="1:7" x14ac:dyDescent="0.25">
      <c r="A24" s="14">
        <v>46045.25</v>
      </c>
      <c r="B24">
        <f>IF(Registro!B24&lt;&gt;"",B23+1,0)</f>
      </c>
      <c r="C24">
        <f>IF(Registro!C24&lt;&gt;"",C23+1,0)</f>
      </c>
      <c r="D24">
        <f>IF(Registro!D24&lt;&gt;"",D23+1,0)</f>
      </c>
      <c r="E24">
        <f>IF(Registro!E24&lt;&gt;"",E23+1,0)</f>
      </c>
      <c r="F24">
        <f>IF(Registro!F24&lt;&gt;"",F23+1,0)</f>
      </c>
      <c r="G24">
        <f>IF(Registro!G24&lt;&gt;"",G23+1,0)</f>
      </c>
    </row>
    <row r="25" spans="1:7" x14ac:dyDescent="0.25">
      <c r="A25" s="14">
        <v>46046.25</v>
      </c>
      <c r="B25">
        <f>IF(Registro!B25&lt;&gt;"",B24+1,0)</f>
      </c>
      <c r="C25">
        <f>IF(Registro!C25&lt;&gt;"",C24+1,0)</f>
      </c>
      <c r="D25">
        <f>IF(Registro!D25&lt;&gt;"",D24+1,0)</f>
      </c>
      <c r="E25">
        <f>IF(Registro!E25&lt;&gt;"",E24+1,0)</f>
      </c>
      <c r="F25">
        <f>IF(Registro!F25&lt;&gt;"",F24+1,0)</f>
      </c>
      <c r="G25">
        <f>IF(Registro!G25&lt;&gt;"",G24+1,0)</f>
      </c>
    </row>
    <row r="26" spans="1:7" x14ac:dyDescent="0.25">
      <c r="A26" s="14">
        <v>46047.25</v>
      </c>
      <c r="B26">
        <f>IF(Registro!B26&lt;&gt;"",B25+1,0)</f>
      </c>
      <c r="C26">
        <f>IF(Registro!C26&lt;&gt;"",C25+1,0)</f>
      </c>
      <c r="D26">
        <f>IF(Registro!D26&lt;&gt;"",D25+1,0)</f>
      </c>
      <c r="E26">
        <f>IF(Registro!E26&lt;&gt;"",E25+1,0)</f>
      </c>
      <c r="F26">
        <f>IF(Registro!F26&lt;&gt;"",F25+1,0)</f>
      </c>
      <c r="G26">
        <f>IF(Registro!G26&lt;&gt;"",G25+1,0)</f>
      </c>
    </row>
    <row r="27" spans="1:7" x14ac:dyDescent="0.25">
      <c r="A27" s="14">
        <v>46048.25</v>
      </c>
      <c r="B27">
        <f>IF(Registro!B27&lt;&gt;"",B26+1,0)</f>
      </c>
      <c r="C27">
        <f>IF(Registro!C27&lt;&gt;"",C26+1,0)</f>
      </c>
      <c r="D27">
        <f>IF(Registro!D27&lt;&gt;"",D26+1,0)</f>
      </c>
      <c r="E27">
        <f>IF(Registro!E27&lt;&gt;"",E26+1,0)</f>
      </c>
      <c r="F27">
        <f>IF(Registro!F27&lt;&gt;"",F26+1,0)</f>
      </c>
      <c r="G27">
        <f>IF(Registro!G27&lt;&gt;"",G26+1,0)</f>
      </c>
    </row>
    <row r="28" spans="1:7" x14ac:dyDescent="0.25">
      <c r="A28" s="14">
        <v>46049.25</v>
      </c>
      <c r="B28">
        <f>IF(Registro!B28&lt;&gt;"",B27+1,0)</f>
      </c>
      <c r="C28">
        <f>IF(Registro!C28&lt;&gt;"",C27+1,0)</f>
      </c>
      <c r="D28">
        <f>IF(Registro!D28&lt;&gt;"",D27+1,0)</f>
      </c>
      <c r="E28">
        <f>IF(Registro!E28&lt;&gt;"",E27+1,0)</f>
      </c>
      <c r="F28">
        <f>IF(Registro!F28&lt;&gt;"",F27+1,0)</f>
      </c>
      <c r="G28">
        <f>IF(Registro!G28&lt;&gt;"",G27+1,0)</f>
      </c>
    </row>
    <row r="29" spans="1:7" x14ac:dyDescent="0.25">
      <c r="A29" s="14">
        <v>46050.25</v>
      </c>
      <c r="B29">
        <f>IF(Registro!B29&lt;&gt;"",B28+1,0)</f>
      </c>
      <c r="C29">
        <f>IF(Registro!C29&lt;&gt;"",C28+1,0)</f>
      </c>
      <c r="D29">
        <f>IF(Registro!D29&lt;&gt;"",D28+1,0)</f>
      </c>
      <c r="E29">
        <f>IF(Registro!E29&lt;&gt;"",E28+1,0)</f>
      </c>
      <c r="F29">
        <f>IF(Registro!F29&lt;&gt;"",F28+1,0)</f>
      </c>
      <c r="G29">
        <f>IF(Registro!G29&lt;&gt;"",G28+1,0)</f>
      </c>
    </row>
    <row r="30" spans="1:7" x14ac:dyDescent="0.25">
      <c r="A30" s="14">
        <v>46051.25</v>
      </c>
      <c r="B30">
        <f>IF(Registro!B30&lt;&gt;"",B29+1,0)</f>
      </c>
      <c r="C30">
        <f>IF(Registro!C30&lt;&gt;"",C29+1,0)</f>
      </c>
      <c r="D30">
        <f>IF(Registro!D30&lt;&gt;"",D29+1,0)</f>
      </c>
      <c r="E30">
        <f>IF(Registro!E30&lt;&gt;"",E29+1,0)</f>
      </c>
      <c r="F30">
        <f>IF(Registro!F30&lt;&gt;"",F29+1,0)</f>
      </c>
      <c r="G30">
        <f>IF(Registro!G30&lt;&gt;"",G29+1,0)</f>
      </c>
    </row>
    <row r="31" spans="1:7" x14ac:dyDescent="0.25">
      <c r="A31" s="14">
        <v>46052.25</v>
      </c>
      <c r="B31">
        <f>IF(Registro!B31&lt;&gt;"",B30+1,0)</f>
      </c>
      <c r="C31">
        <f>IF(Registro!C31&lt;&gt;"",C30+1,0)</f>
      </c>
      <c r="D31">
        <f>IF(Registro!D31&lt;&gt;"",D30+1,0)</f>
      </c>
      <c r="E31">
        <f>IF(Registro!E31&lt;&gt;"",E30+1,0)</f>
      </c>
      <c r="F31">
        <f>IF(Registro!F31&lt;&gt;"",F30+1,0)</f>
      </c>
      <c r="G31">
        <f>IF(Registro!G31&lt;&gt;"",G30+1,0)</f>
      </c>
    </row>
    <row r="32" spans="1:7" x14ac:dyDescent="0.25">
      <c r="A32" s="14">
        <v>46053.25</v>
      </c>
      <c r="B32">
        <f>IF(Registro!B32&lt;&gt;"",B31+1,0)</f>
      </c>
      <c r="C32">
        <f>IF(Registro!C32&lt;&gt;"",C31+1,0)</f>
      </c>
      <c r="D32">
        <f>IF(Registro!D32&lt;&gt;"",D31+1,0)</f>
      </c>
      <c r="E32">
        <f>IF(Registro!E32&lt;&gt;"",E31+1,0)</f>
      </c>
      <c r="F32">
        <f>IF(Registro!F32&lt;&gt;"",F31+1,0)</f>
      </c>
      <c r="G32">
        <f>IF(Registro!G32&lt;&gt;"",G31+1,0)</f>
      </c>
    </row>
    <row r="33" spans="1:7" x14ac:dyDescent="0.25">
      <c r="A33" s="14">
        <v>46054.25</v>
      </c>
      <c r="B33">
        <f>IF(Registro!B33&lt;&gt;"",B32+1,0)</f>
      </c>
      <c r="C33">
        <f>IF(Registro!C33&lt;&gt;"",C32+1,0)</f>
      </c>
      <c r="D33">
        <f>IF(Registro!D33&lt;&gt;"",D32+1,0)</f>
      </c>
      <c r="E33">
        <f>IF(Registro!E33&lt;&gt;"",E32+1,0)</f>
      </c>
      <c r="F33">
        <f>IF(Registro!F33&lt;&gt;"",F32+1,0)</f>
      </c>
      <c r="G33">
        <f>IF(Registro!G33&lt;&gt;"",G32+1,0)</f>
      </c>
    </row>
    <row r="34" spans="1:7" x14ac:dyDescent="0.25">
      <c r="A34" s="14">
        <v>46055.25</v>
      </c>
      <c r="B34">
        <f>IF(Registro!B34&lt;&gt;"",B33+1,0)</f>
      </c>
      <c r="C34">
        <f>IF(Registro!C34&lt;&gt;"",C33+1,0)</f>
      </c>
      <c r="D34">
        <f>IF(Registro!D34&lt;&gt;"",D33+1,0)</f>
      </c>
      <c r="E34">
        <f>IF(Registro!E34&lt;&gt;"",E33+1,0)</f>
      </c>
      <c r="F34">
        <f>IF(Registro!F34&lt;&gt;"",F33+1,0)</f>
      </c>
      <c r="G34">
        <f>IF(Registro!G34&lt;&gt;"",G33+1,0)</f>
      </c>
    </row>
    <row r="35" spans="1:7" x14ac:dyDescent="0.25">
      <c r="A35" s="14">
        <v>46056.25</v>
      </c>
      <c r="B35">
        <f>IF(Registro!B35&lt;&gt;"",B34+1,0)</f>
      </c>
      <c r="C35">
        <f>IF(Registro!C35&lt;&gt;"",C34+1,0)</f>
      </c>
      <c r="D35">
        <f>IF(Registro!D35&lt;&gt;"",D34+1,0)</f>
      </c>
      <c r="E35">
        <f>IF(Registro!E35&lt;&gt;"",E34+1,0)</f>
      </c>
      <c r="F35">
        <f>IF(Registro!F35&lt;&gt;"",F34+1,0)</f>
      </c>
      <c r="G35">
        <f>IF(Registro!G35&lt;&gt;"",G34+1,0)</f>
      </c>
    </row>
    <row r="36" spans="1:7" x14ac:dyDescent="0.25">
      <c r="A36" s="14">
        <v>46057.25</v>
      </c>
      <c r="B36">
        <f>IF(Registro!B36&lt;&gt;"",B35+1,0)</f>
      </c>
      <c r="C36">
        <f>IF(Registro!C36&lt;&gt;"",C35+1,0)</f>
      </c>
      <c r="D36">
        <f>IF(Registro!D36&lt;&gt;"",D35+1,0)</f>
      </c>
      <c r="E36">
        <f>IF(Registro!E36&lt;&gt;"",E35+1,0)</f>
      </c>
      <c r="F36">
        <f>IF(Registro!F36&lt;&gt;"",F35+1,0)</f>
      </c>
      <c r="G36">
        <f>IF(Registro!G36&lt;&gt;"",G35+1,0)</f>
      </c>
    </row>
    <row r="37" spans="1:7" x14ac:dyDescent="0.25">
      <c r="A37" s="14">
        <v>46058.25</v>
      </c>
      <c r="B37">
        <f>IF(Registro!B37&lt;&gt;"",B36+1,0)</f>
      </c>
      <c r="C37">
        <f>IF(Registro!C37&lt;&gt;"",C36+1,0)</f>
      </c>
      <c r="D37">
        <f>IF(Registro!D37&lt;&gt;"",D36+1,0)</f>
      </c>
      <c r="E37">
        <f>IF(Registro!E37&lt;&gt;"",E36+1,0)</f>
      </c>
      <c r="F37">
        <f>IF(Registro!F37&lt;&gt;"",F36+1,0)</f>
      </c>
      <c r="G37">
        <f>IF(Registro!G37&lt;&gt;"",G36+1,0)</f>
      </c>
    </row>
    <row r="38" spans="1:7" x14ac:dyDescent="0.25">
      <c r="A38" s="14">
        <v>46059.25</v>
      </c>
      <c r="B38">
        <f>IF(Registro!B38&lt;&gt;"",B37+1,0)</f>
      </c>
      <c r="C38">
        <f>IF(Registro!C38&lt;&gt;"",C37+1,0)</f>
      </c>
      <c r="D38">
        <f>IF(Registro!D38&lt;&gt;"",D37+1,0)</f>
      </c>
      <c r="E38">
        <f>IF(Registro!E38&lt;&gt;"",E37+1,0)</f>
      </c>
      <c r="F38">
        <f>IF(Registro!F38&lt;&gt;"",F37+1,0)</f>
      </c>
      <c r="G38">
        <f>IF(Registro!G38&lt;&gt;"",G37+1,0)</f>
      </c>
    </row>
    <row r="39" spans="1:7" x14ac:dyDescent="0.25">
      <c r="A39" s="14">
        <v>46060.25</v>
      </c>
      <c r="B39">
        <f>IF(Registro!B39&lt;&gt;"",B38+1,0)</f>
      </c>
      <c r="C39">
        <f>IF(Registro!C39&lt;&gt;"",C38+1,0)</f>
      </c>
      <c r="D39">
        <f>IF(Registro!D39&lt;&gt;"",D38+1,0)</f>
      </c>
      <c r="E39">
        <f>IF(Registro!E39&lt;&gt;"",E38+1,0)</f>
      </c>
      <c r="F39">
        <f>IF(Registro!F39&lt;&gt;"",F38+1,0)</f>
      </c>
      <c r="G39">
        <f>IF(Registro!G39&lt;&gt;"",G38+1,0)</f>
      </c>
    </row>
    <row r="40" spans="1:7" x14ac:dyDescent="0.25">
      <c r="A40" s="14">
        <v>46061.25</v>
      </c>
      <c r="B40">
        <f>IF(Registro!B40&lt;&gt;"",B39+1,0)</f>
      </c>
      <c r="C40">
        <f>IF(Registro!C40&lt;&gt;"",C39+1,0)</f>
      </c>
      <c r="D40">
        <f>IF(Registro!D40&lt;&gt;"",D39+1,0)</f>
      </c>
      <c r="E40">
        <f>IF(Registro!E40&lt;&gt;"",E39+1,0)</f>
      </c>
      <c r="F40">
        <f>IF(Registro!F40&lt;&gt;"",F39+1,0)</f>
      </c>
      <c r="G40">
        <f>IF(Registro!G40&lt;&gt;"",G39+1,0)</f>
      </c>
    </row>
    <row r="41" spans="1:7" x14ac:dyDescent="0.25">
      <c r="A41" s="14">
        <v>46062.25</v>
      </c>
      <c r="B41">
        <f>IF(Registro!B41&lt;&gt;"",B40+1,0)</f>
      </c>
      <c r="C41">
        <f>IF(Registro!C41&lt;&gt;"",C40+1,0)</f>
      </c>
      <c r="D41">
        <f>IF(Registro!D41&lt;&gt;"",D40+1,0)</f>
      </c>
      <c r="E41">
        <f>IF(Registro!E41&lt;&gt;"",E40+1,0)</f>
      </c>
      <c r="F41">
        <f>IF(Registro!F41&lt;&gt;"",F40+1,0)</f>
      </c>
      <c r="G41">
        <f>IF(Registro!G41&lt;&gt;"",G40+1,0)</f>
      </c>
    </row>
    <row r="42" spans="1:7" x14ac:dyDescent="0.25">
      <c r="A42" s="14">
        <v>46063.25</v>
      </c>
      <c r="B42">
        <f>IF(Registro!B42&lt;&gt;"",B41+1,0)</f>
      </c>
      <c r="C42">
        <f>IF(Registro!C42&lt;&gt;"",C41+1,0)</f>
      </c>
      <c r="D42">
        <f>IF(Registro!D42&lt;&gt;"",D41+1,0)</f>
      </c>
      <c r="E42">
        <f>IF(Registro!E42&lt;&gt;"",E41+1,0)</f>
      </c>
      <c r="F42">
        <f>IF(Registro!F42&lt;&gt;"",F41+1,0)</f>
      </c>
      <c r="G42">
        <f>IF(Registro!G42&lt;&gt;"",G41+1,0)</f>
      </c>
    </row>
    <row r="43" spans="1:7" x14ac:dyDescent="0.25">
      <c r="A43" s="14">
        <v>46064.25</v>
      </c>
      <c r="B43">
        <f>IF(Registro!B43&lt;&gt;"",B42+1,0)</f>
      </c>
      <c r="C43">
        <f>IF(Registro!C43&lt;&gt;"",C42+1,0)</f>
      </c>
      <c r="D43">
        <f>IF(Registro!D43&lt;&gt;"",D42+1,0)</f>
      </c>
      <c r="E43">
        <f>IF(Registro!E43&lt;&gt;"",E42+1,0)</f>
      </c>
      <c r="F43">
        <f>IF(Registro!F43&lt;&gt;"",F42+1,0)</f>
      </c>
      <c r="G43">
        <f>IF(Registro!G43&lt;&gt;"",G42+1,0)</f>
      </c>
    </row>
    <row r="44" spans="1:7" x14ac:dyDescent="0.25">
      <c r="A44" s="14">
        <v>46065.25</v>
      </c>
      <c r="B44">
        <f>IF(Registro!B44&lt;&gt;"",B43+1,0)</f>
      </c>
      <c r="C44">
        <f>IF(Registro!C44&lt;&gt;"",C43+1,0)</f>
      </c>
      <c r="D44">
        <f>IF(Registro!D44&lt;&gt;"",D43+1,0)</f>
      </c>
      <c r="E44">
        <f>IF(Registro!E44&lt;&gt;"",E43+1,0)</f>
      </c>
      <c r="F44">
        <f>IF(Registro!F44&lt;&gt;"",F43+1,0)</f>
      </c>
      <c r="G44">
        <f>IF(Registro!G44&lt;&gt;"",G43+1,0)</f>
      </c>
    </row>
    <row r="45" spans="1:7" x14ac:dyDescent="0.25">
      <c r="A45" s="14">
        <v>46066.25</v>
      </c>
      <c r="B45">
        <f>IF(Registro!B45&lt;&gt;"",B44+1,0)</f>
      </c>
      <c r="C45">
        <f>IF(Registro!C45&lt;&gt;"",C44+1,0)</f>
      </c>
      <c r="D45">
        <f>IF(Registro!D45&lt;&gt;"",D44+1,0)</f>
      </c>
      <c r="E45">
        <f>IF(Registro!E45&lt;&gt;"",E44+1,0)</f>
      </c>
      <c r="F45">
        <f>IF(Registro!F45&lt;&gt;"",F44+1,0)</f>
      </c>
      <c r="G45">
        <f>IF(Registro!G45&lt;&gt;"",G44+1,0)</f>
      </c>
    </row>
    <row r="46" spans="1:7" x14ac:dyDescent="0.25">
      <c r="A46" s="14">
        <v>46067.25</v>
      </c>
      <c r="B46">
        <f>IF(Registro!B46&lt;&gt;"",B45+1,0)</f>
      </c>
      <c r="C46">
        <f>IF(Registro!C46&lt;&gt;"",C45+1,0)</f>
      </c>
      <c r="D46">
        <f>IF(Registro!D46&lt;&gt;"",D45+1,0)</f>
      </c>
      <c r="E46">
        <f>IF(Registro!E46&lt;&gt;"",E45+1,0)</f>
      </c>
      <c r="F46">
        <f>IF(Registro!F46&lt;&gt;"",F45+1,0)</f>
      </c>
      <c r="G46">
        <f>IF(Registro!G46&lt;&gt;"",G45+1,0)</f>
      </c>
    </row>
    <row r="47" spans="1:7" x14ac:dyDescent="0.25">
      <c r="A47" s="14">
        <v>46068.25</v>
      </c>
      <c r="B47">
        <f>IF(Registro!B47&lt;&gt;"",B46+1,0)</f>
      </c>
      <c r="C47">
        <f>IF(Registro!C47&lt;&gt;"",C46+1,0)</f>
      </c>
      <c r="D47">
        <f>IF(Registro!D47&lt;&gt;"",D46+1,0)</f>
      </c>
      <c r="E47">
        <f>IF(Registro!E47&lt;&gt;"",E46+1,0)</f>
      </c>
      <c r="F47">
        <f>IF(Registro!F47&lt;&gt;"",F46+1,0)</f>
      </c>
      <c r="G47">
        <f>IF(Registro!G47&lt;&gt;"",G46+1,0)</f>
      </c>
    </row>
    <row r="48" spans="1:7" x14ac:dyDescent="0.25">
      <c r="A48" s="14">
        <v>46069.25</v>
      </c>
      <c r="B48">
        <f>IF(Registro!B48&lt;&gt;"",B47+1,0)</f>
      </c>
      <c r="C48">
        <f>IF(Registro!C48&lt;&gt;"",C47+1,0)</f>
      </c>
      <c r="D48">
        <f>IF(Registro!D48&lt;&gt;"",D47+1,0)</f>
      </c>
      <c r="E48">
        <f>IF(Registro!E48&lt;&gt;"",E47+1,0)</f>
      </c>
      <c r="F48">
        <f>IF(Registro!F48&lt;&gt;"",F47+1,0)</f>
      </c>
      <c r="G48">
        <f>IF(Registro!G48&lt;&gt;"",G47+1,0)</f>
      </c>
    </row>
    <row r="49" spans="1:7" x14ac:dyDescent="0.25">
      <c r="A49" s="14">
        <v>46070.25</v>
      </c>
      <c r="B49">
        <f>IF(Registro!B49&lt;&gt;"",B48+1,0)</f>
      </c>
      <c r="C49">
        <f>IF(Registro!C49&lt;&gt;"",C48+1,0)</f>
      </c>
      <c r="D49">
        <f>IF(Registro!D49&lt;&gt;"",D48+1,0)</f>
      </c>
      <c r="E49">
        <f>IF(Registro!E49&lt;&gt;"",E48+1,0)</f>
      </c>
      <c r="F49">
        <f>IF(Registro!F49&lt;&gt;"",F48+1,0)</f>
      </c>
      <c r="G49">
        <f>IF(Registro!G49&lt;&gt;"",G48+1,0)</f>
      </c>
    </row>
    <row r="50" spans="1:7" x14ac:dyDescent="0.25">
      <c r="A50" s="14">
        <v>46071.25</v>
      </c>
      <c r="B50">
        <f>IF(Registro!B50&lt;&gt;"",B49+1,0)</f>
      </c>
      <c r="C50">
        <f>IF(Registro!C50&lt;&gt;"",C49+1,0)</f>
      </c>
      <c r="D50">
        <f>IF(Registro!D50&lt;&gt;"",D49+1,0)</f>
      </c>
      <c r="E50">
        <f>IF(Registro!E50&lt;&gt;"",E49+1,0)</f>
      </c>
      <c r="F50">
        <f>IF(Registro!F50&lt;&gt;"",F49+1,0)</f>
      </c>
      <c r="G50">
        <f>IF(Registro!G50&lt;&gt;"",G49+1,0)</f>
      </c>
    </row>
    <row r="51" spans="1:7" x14ac:dyDescent="0.25">
      <c r="A51" s="14">
        <v>46072.25</v>
      </c>
      <c r="B51">
        <f>IF(Registro!B51&lt;&gt;"",B50+1,0)</f>
      </c>
      <c r="C51">
        <f>IF(Registro!C51&lt;&gt;"",C50+1,0)</f>
      </c>
      <c r="D51">
        <f>IF(Registro!D51&lt;&gt;"",D50+1,0)</f>
      </c>
      <c r="E51">
        <f>IF(Registro!E51&lt;&gt;"",E50+1,0)</f>
      </c>
      <c r="F51">
        <f>IF(Registro!F51&lt;&gt;"",F50+1,0)</f>
      </c>
      <c r="G51">
        <f>IF(Registro!G51&lt;&gt;"",G50+1,0)</f>
      </c>
    </row>
    <row r="52" spans="1:7" x14ac:dyDescent="0.25">
      <c r="A52" s="14">
        <v>46073.25</v>
      </c>
      <c r="B52">
        <f>IF(Registro!B52&lt;&gt;"",B51+1,0)</f>
      </c>
      <c r="C52">
        <f>IF(Registro!C52&lt;&gt;"",C51+1,0)</f>
      </c>
      <c r="D52">
        <f>IF(Registro!D52&lt;&gt;"",D51+1,0)</f>
      </c>
      <c r="E52">
        <f>IF(Registro!E52&lt;&gt;"",E51+1,0)</f>
      </c>
      <c r="F52">
        <f>IF(Registro!F52&lt;&gt;"",F51+1,0)</f>
      </c>
      <c r="G52">
        <f>IF(Registro!G52&lt;&gt;"",G51+1,0)</f>
      </c>
    </row>
    <row r="53" spans="1:7" x14ac:dyDescent="0.25">
      <c r="A53" s="14">
        <v>46074.25</v>
      </c>
      <c r="B53">
        <f>IF(Registro!B53&lt;&gt;"",B52+1,0)</f>
      </c>
      <c r="C53">
        <f>IF(Registro!C53&lt;&gt;"",C52+1,0)</f>
      </c>
      <c r="D53">
        <f>IF(Registro!D53&lt;&gt;"",D52+1,0)</f>
      </c>
      <c r="E53">
        <f>IF(Registro!E53&lt;&gt;"",E52+1,0)</f>
      </c>
      <c r="F53">
        <f>IF(Registro!F53&lt;&gt;"",F52+1,0)</f>
      </c>
      <c r="G53">
        <f>IF(Registro!G53&lt;&gt;"",G52+1,0)</f>
      </c>
    </row>
    <row r="54" spans="1:7" x14ac:dyDescent="0.25">
      <c r="A54" s="14">
        <v>46075.25</v>
      </c>
      <c r="B54">
        <f>IF(Registro!B54&lt;&gt;"",B53+1,0)</f>
      </c>
      <c r="C54">
        <f>IF(Registro!C54&lt;&gt;"",C53+1,0)</f>
      </c>
      <c r="D54">
        <f>IF(Registro!D54&lt;&gt;"",D53+1,0)</f>
      </c>
      <c r="E54">
        <f>IF(Registro!E54&lt;&gt;"",E53+1,0)</f>
      </c>
      <c r="F54">
        <f>IF(Registro!F54&lt;&gt;"",F53+1,0)</f>
      </c>
      <c r="G54">
        <f>IF(Registro!G54&lt;&gt;"",G53+1,0)</f>
      </c>
    </row>
    <row r="55" spans="1:7" x14ac:dyDescent="0.25">
      <c r="A55" s="14">
        <v>46076.25</v>
      </c>
      <c r="B55">
        <f>IF(Registro!B55&lt;&gt;"",B54+1,0)</f>
      </c>
      <c r="C55">
        <f>IF(Registro!C55&lt;&gt;"",C54+1,0)</f>
      </c>
      <c r="D55">
        <f>IF(Registro!D55&lt;&gt;"",D54+1,0)</f>
      </c>
      <c r="E55">
        <f>IF(Registro!E55&lt;&gt;"",E54+1,0)</f>
      </c>
      <c r="F55">
        <f>IF(Registro!F55&lt;&gt;"",F54+1,0)</f>
      </c>
      <c r="G55">
        <f>IF(Registro!G55&lt;&gt;"",G54+1,0)</f>
      </c>
    </row>
    <row r="56" spans="1:7" x14ac:dyDescent="0.25">
      <c r="A56" s="14">
        <v>46077.25</v>
      </c>
      <c r="B56">
        <f>IF(Registro!B56&lt;&gt;"",B55+1,0)</f>
      </c>
      <c r="C56">
        <f>IF(Registro!C56&lt;&gt;"",C55+1,0)</f>
      </c>
      <c r="D56">
        <f>IF(Registro!D56&lt;&gt;"",D55+1,0)</f>
      </c>
      <c r="E56">
        <f>IF(Registro!E56&lt;&gt;"",E55+1,0)</f>
      </c>
      <c r="F56">
        <f>IF(Registro!F56&lt;&gt;"",F55+1,0)</f>
      </c>
      <c r="G56">
        <f>IF(Registro!G56&lt;&gt;"",G55+1,0)</f>
      </c>
    </row>
    <row r="57" spans="1:7" x14ac:dyDescent="0.25">
      <c r="A57" s="14">
        <v>46078.25</v>
      </c>
      <c r="B57">
        <f>IF(Registro!B57&lt;&gt;"",B56+1,0)</f>
      </c>
      <c r="C57">
        <f>IF(Registro!C57&lt;&gt;"",C56+1,0)</f>
      </c>
      <c r="D57">
        <f>IF(Registro!D57&lt;&gt;"",D56+1,0)</f>
      </c>
      <c r="E57">
        <f>IF(Registro!E57&lt;&gt;"",E56+1,0)</f>
      </c>
      <c r="F57">
        <f>IF(Registro!F57&lt;&gt;"",F56+1,0)</f>
      </c>
      <c r="G57">
        <f>IF(Registro!G57&lt;&gt;"",G56+1,0)</f>
      </c>
    </row>
    <row r="58" spans="1:7" x14ac:dyDescent="0.25">
      <c r="A58" s="14">
        <v>46079.25</v>
      </c>
      <c r="B58">
        <f>IF(Registro!B58&lt;&gt;"",B57+1,0)</f>
      </c>
      <c r="C58">
        <f>IF(Registro!C58&lt;&gt;"",C57+1,0)</f>
      </c>
      <c r="D58">
        <f>IF(Registro!D58&lt;&gt;"",D57+1,0)</f>
      </c>
      <c r="E58">
        <f>IF(Registro!E58&lt;&gt;"",E57+1,0)</f>
      </c>
      <c r="F58">
        <f>IF(Registro!F58&lt;&gt;"",F57+1,0)</f>
      </c>
      <c r="G58">
        <f>IF(Registro!G58&lt;&gt;"",G57+1,0)</f>
      </c>
    </row>
    <row r="59" spans="1:7" x14ac:dyDescent="0.25">
      <c r="A59" s="14">
        <v>46080.25</v>
      </c>
      <c r="B59">
        <f>IF(Registro!B59&lt;&gt;"",B58+1,0)</f>
      </c>
      <c r="C59">
        <f>IF(Registro!C59&lt;&gt;"",C58+1,0)</f>
      </c>
      <c r="D59">
        <f>IF(Registro!D59&lt;&gt;"",D58+1,0)</f>
      </c>
      <c r="E59">
        <f>IF(Registro!E59&lt;&gt;"",E58+1,0)</f>
      </c>
      <c r="F59">
        <f>IF(Registro!F59&lt;&gt;"",F58+1,0)</f>
      </c>
      <c r="G59">
        <f>IF(Registro!G59&lt;&gt;"",G58+1,0)</f>
      </c>
    </row>
    <row r="60" spans="1:7" x14ac:dyDescent="0.25">
      <c r="A60" s="14">
        <v>46081.25</v>
      </c>
      <c r="B60">
        <f>IF(Registro!B60&lt;&gt;"",B59+1,0)</f>
      </c>
      <c r="C60">
        <f>IF(Registro!C60&lt;&gt;"",C59+1,0)</f>
      </c>
      <c r="D60">
        <f>IF(Registro!D60&lt;&gt;"",D59+1,0)</f>
      </c>
      <c r="E60">
        <f>IF(Registro!E60&lt;&gt;"",E59+1,0)</f>
      </c>
      <c r="F60">
        <f>IF(Registro!F60&lt;&gt;"",F59+1,0)</f>
      </c>
      <c r="G60">
        <f>IF(Registro!G60&lt;&gt;"",G59+1,0)</f>
      </c>
    </row>
    <row r="61" spans="1:7" x14ac:dyDescent="0.25">
      <c r="A61" s="14">
        <v>46082.25</v>
      </c>
      <c r="B61">
        <f>IF(Registro!B61&lt;&gt;"",B60+1,0)</f>
      </c>
      <c r="C61">
        <f>IF(Registro!C61&lt;&gt;"",C60+1,0)</f>
      </c>
      <c r="D61">
        <f>IF(Registro!D61&lt;&gt;"",D60+1,0)</f>
      </c>
      <c r="E61">
        <f>IF(Registro!E61&lt;&gt;"",E60+1,0)</f>
      </c>
      <c r="F61">
        <f>IF(Registro!F61&lt;&gt;"",F60+1,0)</f>
      </c>
      <c r="G61">
        <f>IF(Registro!G61&lt;&gt;"",G60+1,0)</f>
      </c>
    </row>
    <row r="62" spans="1:7" x14ac:dyDescent="0.25">
      <c r="A62" s="14">
        <v>46083.25</v>
      </c>
      <c r="B62">
        <f>IF(Registro!B62&lt;&gt;"",B61+1,0)</f>
      </c>
      <c r="C62">
        <f>IF(Registro!C62&lt;&gt;"",C61+1,0)</f>
      </c>
      <c r="D62">
        <f>IF(Registro!D62&lt;&gt;"",D61+1,0)</f>
      </c>
      <c r="E62">
        <f>IF(Registro!E62&lt;&gt;"",E61+1,0)</f>
      </c>
      <c r="F62">
        <f>IF(Registro!F62&lt;&gt;"",F61+1,0)</f>
      </c>
      <c r="G62">
        <f>IF(Registro!G62&lt;&gt;"",G61+1,0)</f>
      </c>
    </row>
    <row r="63" spans="1:7" x14ac:dyDescent="0.25">
      <c r="A63" s="14">
        <v>46084.25</v>
      </c>
      <c r="B63">
        <f>IF(Registro!B63&lt;&gt;"",B62+1,0)</f>
      </c>
      <c r="C63">
        <f>IF(Registro!C63&lt;&gt;"",C62+1,0)</f>
      </c>
      <c r="D63">
        <f>IF(Registro!D63&lt;&gt;"",D62+1,0)</f>
      </c>
      <c r="E63">
        <f>IF(Registro!E63&lt;&gt;"",E62+1,0)</f>
      </c>
      <c r="F63">
        <f>IF(Registro!F63&lt;&gt;"",F62+1,0)</f>
      </c>
      <c r="G63">
        <f>IF(Registro!G63&lt;&gt;"",G62+1,0)</f>
      </c>
    </row>
    <row r="64" spans="1:7" x14ac:dyDescent="0.25">
      <c r="A64" s="14">
        <v>46085.25</v>
      </c>
      <c r="B64">
        <f>IF(Registro!B64&lt;&gt;"",B63+1,0)</f>
      </c>
      <c r="C64">
        <f>IF(Registro!C64&lt;&gt;"",C63+1,0)</f>
      </c>
      <c r="D64">
        <f>IF(Registro!D64&lt;&gt;"",D63+1,0)</f>
      </c>
      <c r="E64">
        <f>IF(Registro!E64&lt;&gt;"",E63+1,0)</f>
      </c>
      <c r="F64">
        <f>IF(Registro!F64&lt;&gt;"",F63+1,0)</f>
      </c>
      <c r="G64">
        <f>IF(Registro!G64&lt;&gt;"",G63+1,0)</f>
      </c>
    </row>
    <row r="65" spans="1:7" x14ac:dyDescent="0.25">
      <c r="A65" s="14">
        <v>46086.25</v>
      </c>
      <c r="B65">
        <f>IF(Registro!B65&lt;&gt;"",B64+1,0)</f>
      </c>
      <c r="C65">
        <f>IF(Registro!C65&lt;&gt;"",C64+1,0)</f>
      </c>
      <c r="D65">
        <f>IF(Registro!D65&lt;&gt;"",D64+1,0)</f>
      </c>
      <c r="E65">
        <f>IF(Registro!E65&lt;&gt;"",E64+1,0)</f>
      </c>
      <c r="F65">
        <f>IF(Registro!F65&lt;&gt;"",F64+1,0)</f>
      </c>
      <c r="G65">
        <f>IF(Registro!G65&lt;&gt;"",G64+1,0)</f>
      </c>
    </row>
    <row r="66" spans="1:7" x14ac:dyDescent="0.25">
      <c r="A66" s="14">
        <v>46087.25</v>
      </c>
      <c r="B66">
        <f>IF(Registro!B66&lt;&gt;"",B65+1,0)</f>
      </c>
      <c r="C66">
        <f>IF(Registro!C66&lt;&gt;"",C65+1,0)</f>
      </c>
      <c r="D66">
        <f>IF(Registro!D66&lt;&gt;"",D65+1,0)</f>
      </c>
      <c r="E66">
        <f>IF(Registro!E66&lt;&gt;"",E65+1,0)</f>
      </c>
      <c r="F66">
        <f>IF(Registro!F66&lt;&gt;"",F65+1,0)</f>
      </c>
      <c r="G66">
        <f>IF(Registro!G66&lt;&gt;"",G65+1,0)</f>
      </c>
    </row>
    <row r="67" spans="1:7" x14ac:dyDescent="0.25">
      <c r="A67" s="14">
        <v>46088.25</v>
      </c>
      <c r="B67">
        <f>IF(Registro!B67&lt;&gt;"",B66+1,0)</f>
      </c>
      <c r="C67">
        <f>IF(Registro!C67&lt;&gt;"",C66+1,0)</f>
      </c>
      <c r="D67">
        <f>IF(Registro!D67&lt;&gt;"",D66+1,0)</f>
      </c>
      <c r="E67">
        <f>IF(Registro!E67&lt;&gt;"",E66+1,0)</f>
      </c>
      <c r="F67">
        <f>IF(Registro!F67&lt;&gt;"",F66+1,0)</f>
      </c>
      <c r="G67">
        <f>IF(Registro!G67&lt;&gt;"",G66+1,0)</f>
      </c>
    </row>
    <row r="68" spans="1:7" x14ac:dyDescent="0.25">
      <c r="A68" s="14">
        <v>46089.25</v>
      </c>
      <c r="B68">
        <f>IF(Registro!B68&lt;&gt;"",B67+1,0)</f>
      </c>
      <c r="C68">
        <f>IF(Registro!C68&lt;&gt;"",C67+1,0)</f>
      </c>
      <c r="D68">
        <f>IF(Registro!D68&lt;&gt;"",D67+1,0)</f>
      </c>
      <c r="E68">
        <f>IF(Registro!E68&lt;&gt;"",E67+1,0)</f>
      </c>
      <c r="F68">
        <f>IF(Registro!F68&lt;&gt;"",F67+1,0)</f>
      </c>
      <c r="G68">
        <f>IF(Registro!G68&lt;&gt;"",G67+1,0)</f>
      </c>
    </row>
    <row r="69" spans="1:7" x14ac:dyDescent="0.25">
      <c r="A69" s="14">
        <v>46090.25</v>
      </c>
      <c r="B69">
        <f>IF(Registro!B69&lt;&gt;"",B68+1,0)</f>
      </c>
      <c r="C69">
        <f>IF(Registro!C69&lt;&gt;"",C68+1,0)</f>
      </c>
      <c r="D69">
        <f>IF(Registro!D69&lt;&gt;"",D68+1,0)</f>
      </c>
      <c r="E69">
        <f>IF(Registro!E69&lt;&gt;"",E68+1,0)</f>
      </c>
      <c r="F69">
        <f>IF(Registro!F69&lt;&gt;"",F68+1,0)</f>
      </c>
      <c r="G69">
        <f>IF(Registro!G69&lt;&gt;"",G68+1,0)</f>
      </c>
    </row>
    <row r="70" spans="1:7" x14ac:dyDescent="0.25">
      <c r="A70" s="14">
        <v>46091.25</v>
      </c>
      <c r="B70">
        <f>IF(Registro!B70&lt;&gt;"",B69+1,0)</f>
      </c>
      <c r="C70">
        <f>IF(Registro!C70&lt;&gt;"",C69+1,0)</f>
      </c>
      <c r="D70">
        <f>IF(Registro!D70&lt;&gt;"",D69+1,0)</f>
      </c>
      <c r="E70">
        <f>IF(Registro!E70&lt;&gt;"",E69+1,0)</f>
      </c>
      <c r="F70">
        <f>IF(Registro!F70&lt;&gt;"",F69+1,0)</f>
      </c>
      <c r="G70">
        <f>IF(Registro!G70&lt;&gt;"",G69+1,0)</f>
      </c>
    </row>
    <row r="71" spans="1:7" x14ac:dyDescent="0.25">
      <c r="A71" s="14">
        <v>46092.25</v>
      </c>
      <c r="B71">
        <f>IF(Registro!B71&lt;&gt;"",B70+1,0)</f>
      </c>
      <c r="C71">
        <f>IF(Registro!C71&lt;&gt;"",C70+1,0)</f>
      </c>
      <c r="D71">
        <f>IF(Registro!D71&lt;&gt;"",D70+1,0)</f>
      </c>
      <c r="E71">
        <f>IF(Registro!E71&lt;&gt;"",E70+1,0)</f>
      </c>
      <c r="F71">
        <f>IF(Registro!F71&lt;&gt;"",F70+1,0)</f>
      </c>
      <c r="G71">
        <f>IF(Registro!G71&lt;&gt;"",G70+1,0)</f>
      </c>
    </row>
    <row r="72" spans="1:7" x14ac:dyDescent="0.25">
      <c r="A72" s="14">
        <v>46093.25</v>
      </c>
      <c r="B72">
        <f>IF(Registro!B72&lt;&gt;"",B71+1,0)</f>
      </c>
      <c r="C72">
        <f>IF(Registro!C72&lt;&gt;"",C71+1,0)</f>
      </c>
      <c r="D72">
        <f>IF(Registro!D72&lt;&gt;"",D71+1,0)</f>
      </c>
      <c r="E72">
        <f>IF(Registro!E72&lt;&gt;"",E71+1,0)</f>
      </c>
      <c r="F72">
        <f>IF(Registro!F72&lt;&gt;"",F71+1,0)</f>
      </c>
      <c r="G72">
        <f>IF(Registro!G72&lt;&gt;"",G71+1,0)</f>
      </c>
    </row>
    <row r="73" spans="1:7" x14ac:dyDescent="0.25">
      <c r="A73" s="14">
        <v>46094.25</v>
      </c>
      <c r="B73">
        <f>IF(Registro!B73&lt;&gt;"",B72+1,0)</f>
      </c>
      <c r="C73">
        <f>IF(Registro!C73&lt;&gt;"",C72+1,0)</f>
      </c>
      <c r="D73">
        <f>IF(Registro!D73&lt;&gt;"",D72+1,0)</f>
      </c>
      <c r="E73">
        <f>IF(Registro!E73&lt;&gt;"",E72+1,0)</f>
      </c>
      <c r="F73">
        <f>IF(Registro!F73&lt;&gt;"",F72+1,0)</f>
      </c>
      <c r="G73">
        <f>IF(Registro!G73&lt;&gt;"",G72+1,0)</f>
      </c>
    </row>
    <row r="74" spans="1:7" x14ac:dyDescent="0.25">
      <c r="A74" s="14">
        <v>46095.25</v>
      </c>
      <c r="B74">
        <f>IF(Registro!B74&lt;&gt;"",B73+1,0)</f>
      </c>
      <c r="C74">
        <f>IF(Registro!C74&lt;&gt;"",C73+1,0)</f>
      </c>
      <c r="D74">
        <f>IF(Registro!D74&lt;&gt;"",D73+1,0)</f>
      </c>
      <c r="E74">
        <f>IF(Registro!E74&lt;&gt;"",E73+1,0)</f>
      </c>
      <c r="F74">
        <f>IF(Registro!F74&lt;&gt;"",F73+1,0)</f>
      </c>
      <c r="G74">
        <f>IF(Registro!G74&lt;&gt;"",G73+1,0)</f>
      </c>
    </row>
    <row r="75" spans="1:7" x14ac:dyDescent="0.25">
      <c r="A75" s="14">
        <v>46096.25</v>
      </c>
      <c r="B75">
        <f>IF(Registro!B75&lt;&gt;"",B74+1,0)</f>
      </c>
      <c r="C75">
        <f>IF(Registro!C75&lt;&gt;"",C74+1,0)</f>
      </c>
      <c r="D75">
        <f>IF(Registro!D75&lt;&gt;"",D74+1,0)</f>
      </c>
      <c r="E75">
        <f>IF(Registro!E75&lt;&gt;"",E74+1,0)</f>
      </c>
      <c r="F75">
        <f>IF(Registro!F75&lt;&gt;"",F74+1,0)</f>
      </c>
      <c r="G75">
        <f>IF(Registro!G75&lt;&gt;"",G74+1,0)</f>
      </c>
    </row>
    <row r="76" spans="1:7" x14ac:dyDescent="0.25">
      <c r="A76" s="14">
        <v>46097.25</v>
      </c>
      <c r="B76">
        <f>IF(Registro!B76&lt;&gt;"",B75+1,0)</f>
      </c>
      <c r="C76">
        <f>IF(Registro!C76&lt;&gt;"",C75+1,0)</f>
      </c>
      <c r="D76">
        <f>IF(Registro!D76&lt;&gt;"",D75+1,0)</f>
      </c>
      <c r="E76">
        <f>IF(Registro!E76&lt;&gt;"",E75+1,0)</f>
      </c>
      <c r="F76">
        <f>IF(Registro!F76&lt;&gt;"",F75+1,0)</f>
      </c>
      <c r="G76">
        <f>IF(Registro!G76&lt;&gt;"",G75+1,0)</f>
      </c>
    </row>
    <row r="77" spans="1:7" x14ac:dyDescent="0.25">
      <c r="A77" s="14">
        <v>46098.25</v>
      </c>
      <c r="B77">
        <f>IF(Registro!B77&lt;&gt;"",B76+1,0)</f>
      </c>
      <c r="C77">
        <f>IF(Registro!C77&lt;&gt;"",C76+1,0)</f>
      </c>
      <c r="D77">
        <f>IF(Registro!D77&lt;&gt;"",D76+1,0)</f>
      </c>
      <c r="E77">
        <f>IF(Registro!E77&lt;&gt;"",E76+1,0)</f>
      </c>
      <c r="F77">
        <f>IF(Registro!F77&lt;&gt;"",F76+1,0)</f>
      </c>
      <c r="G77">
        <f>IF(Registro!G77&lt;&gt;"",G76+1,0)</f>
      </c>
    </row>
    <row r="78" spans="1:7" x14ac:dyDescent="0.25">
      <c r="A78" s="14">
        <v>46099.25</v>
      </c>
      <c r="B78">
        <f>IF(Registro!B78&lt;&gt;"",B77+1,0)</f>
      </c>
      <c r="C78">
        <f>IF(Registro!C78&lt;&gt;"",C77+1,0)</f>
      </c>
      <c r="D78">
        <f>IF(Registro!D78&lt;&gt;"",D77+1,0)</f>
      </c>
      <c r="E78">
        <f>IF(Registro!E78&lt;&gt;"",E77+1,0)</f>
      </c>
      <c r="F78">
        <f>IF(Registro!F78&lt;&gt;"",F77+1,0)</f>
      </c>
      <c r="G78">
        <f>IF(Registro!G78&lt;&gt;"",G77+1,0)</f>
      </c>
    </row>
    <row r="79" spans="1:7" x14ac:dyDescent="0.25">
      <c r="A79" s="14">
        <v>46100.25</v>
      </c>
      <c r="B79">
        <f>IF(Registro!B79&lt;&gt;"",B78+1,0)</f>
      </c>
      <c r="C79">
        <f>IF(Registro!C79&lt;&gt;"",C78+1,0)</f>
      </c>
      <c r="D79">
        <f>IF(Registro!D79&lt;&gt;"",D78+1,0)</f>
      </c>
      <c r="E79">
        <f>IF(Registro!E79&lt;&gt;"",E78+1,0)</f>
      </c>
      <c r="F79">
        <f>IF(Registro!F79&lt;&gt;"",F78+1,0)</f>
      </c>
      <c r="G79">
        <f>IF(Registro!G79&lt;&gt;"",G78+1,0)</f>
      </c>
    </row>
    <row r="80" spans="1:7" x14ac:dyDescent="0.25">
      <c r="A80" s="14">
        <v>46101.25</v>
      </c>
      <c r="B80">
        <f>IF(Registro!B80&lt;&gt;"",B79+1,0)</f>
      </c>
      <c r="C80">
        <f>IF(Registro!C80&lt;&gt;"",C79+1,0)</f>
      </c>
      <c r="D80">
        <f>IF(Registro!D80&lt;&gt;"",D79+1,0)</f>
      </c>
      <c r="E80">
        <f>IF(Registro!E80&lt;&gt;"",E79+1,0)</f>
      </c>
      <c r="F80">
        <f>IF(Registro!F80&lt;&gt;"",F79+1,0)</f>
      </c>
      <c r="G80">
        <f>IF(Registro!G80&lt;&gt;"",G79+1,0)</f>
      </c>
    </row>
    <row r="81" spans="1:7" x14ac:dyDescent="0.25">
      <c r="A81" s="14">
        <v>46102.25</v>
      </c>
      <c r="B81">
        <f>IF(Registro!B81&lt;&gt;"",B80+1,0)</f>
      </c>
      <c r="C81">
        <f>IF(Registro!C81&lt;&gt;"",C80+1,0)</f>
      </c>
      <c r="D81">
        <f>IF(Registro!D81&lt;&gt;"",D80+1,0)</f>
      </c>
      <c r="E81">
        <f>IF(Registro!E81&lt;&gt;"",E80+1,0)</f>
      </c>
      <c r="F81">
        <f>IF(Registro!F81&lt;&gt;"",F80+1,0)</f>
      </c>
      <c r="G81">
        <f>IF(Registro!G81&lt;&gt;"",G80+1,0)</f>
      </c>
    </row>
    <row r="82" spans="1:7" x14ac:dyDescent="0.25">
      <c r="A82" s="14">
        <v>46103.25</v>
      </c>
      <c r="B82">
        <f>IF(Registro!B82&lt;&gt;"",B81+1,0)</f>
      </c>
      <c r="C82">
        <f>IF(Registro!C82&lt;&gt;"",C81+1,0)</f>
      </c>
      <c r="D82">
        <f>IF(Registro!D82&lt;&gt;"",D81+1,0)</f>
      </c>
      <c r="E82">
        <f>IF(Registro!E82&lt;&gt;"",E81+1,0)</f>
      </c>
      <c r="F82">
        <f>IF(Registro!F82&lt;&gt;"",F81+1,0)</f>
      </c>
      <c r="G82">
        <f>IF(Registro!G82&lt;&gt;"",G81+1,0)</f>
      </c>
    </row>
    <row r="83" spans="1:7" x14ac:dyDescent="0.25">
      <c r="A83" s="14">
        <v>46104.25</v>
      </c>
      <c r="B83">
        <f>IF(Registro!B83&lt;&gt;"",B82+1,0)</f>
      </c>
      <c r="C83">
        <f>IF(Registro!C83&lt;&gt;"",C82+1,0)</f>
      </c>
      <c r="D83">
        <f>IF(Registro!D83&lt;&gt;"",D82+1,0)</f>
      </c>
      <c r="E83">
        <f>IF(Registro!E83&lt;&gt;"",E82+1,0)</f>
      </c>
      <c r="F83">
        <f>IF(Registro!F83&lt;&gt;"",F82+1,0)</f>
      </c>
      <c r="G83">
        <f>IF(Registro!G83&lt;&gt;"",G82+1,0)</f>
      </c>
    </row>
    <row r="84" spans="1:7" x14ac:dyDescent="0.25">
      <c r="A84" s="14">
        <v>46105.25</v>
      </c>
      <c r="B84">
        <f>IF(Registro!B84&lt;&gt;"",B83+1,0)</f>
      </c>
      <c r="C84">
        <f>IF(Registro!C84&lt;&gt;"",C83+1,0)</f>
      </c>
      <c r="D84">
        <f>IF(Registro!D84&lt;&gt;"",D83+1,0)</f>
      </c>
      <c r="E84">
        <f>IF(Registro!E84&lt;&gt;"",E83+1,0)</f>
      </c>
      <c r="F84">
        <f>IF(Registro!F84&lt;&gt;"",F83+1,0)</f>
      </c>
      <c r="G84">
        <f>IF(Registro!G84&lt;&gt;"",G83+1,0)</f>
      </c>
    </row>
    <row r="85" spans="1:7" x14ac:dyDescent="0.25">
      <c r="A85" s="14">
        <v>46106.25</v>
      </c>
      <c r="B85">
        <f>IF(Registro!B85&lt;&gt;"",B84+1,0)</f>
      </c>
      <c r="C85">
        <f>IF(Registro!C85&lt;&gt;"",C84+1,0)</f>
      </c>
      <c r="D85">
        <f>IF(Registro!D85&lt;&gt;"",D84+1,0)</f>
      </c>
      <c r="E85">
        <f>IF(Registro!E85&lt;&gt;"",E84+1,0)</f>
      </c>
      <c r="F85">
        <f>IF(Registro!F85&lt;&gt;"",F84+1,0)</f>
      </c>
      <c r="G85">
        <f>IF(Registro!G85&lt;&gt;"",G84+1,0)</f>
      </c>
    </row>
    <row r="86" spans="1:7" x14ac:dyDescent="0.25">
      <c r="A86" s="14">
        <v>46107.25</v>
      </c>
      <c r="B86">
        <f>IF(Registro!B86&lt;&gt;"",B85+1,0)</f>
      </c>
      <c r="C86">
        <f>IF(Registro!C86&lt;&gt;"",C85+1,0)</f>
      </c>
      <c r="D86">
        <f>IF(Registro!D86&lt;&gt;"",D85+1,0)</f>
      </c>
      <c r="E86">
        <f>IF(Registro!E86&lt;&gt;"",E85+1,0)</f>
      </c>
      <c r="F86">
        <f>IF(Registro!F86&lt;&gt;"",F85+1,0)</f>
      </c>
      <c r="G86">
        <f>IF(Registro!G86&lt;&gt;"",G85+1,0)</f>
      </c>
    </row>
    <row r="87" spans="1:7" x14ac:dyDescent="0.25">
      <c r="A87" s="14">
        <v>46108.25</v>
      </c>
      <c r="B87">
        <f>IF(Registro!B87&lt;&gt;"",B86+1,0)</f>
      </c>
      <c r="C87">
        <f>IF(Registro!C87&lt;&gt;"",C86+1,0)</f>
      </c>
      <c r="D87">
        <f>IF(Registro!D87&lt;&gt;"",D86+1,0)</f>
      </c>
      <c r="E87">
        <f>IF(Registro!E87&lt;&gt;"",E86+1,0)</f>
      </c>
      <c r="F87">
        <f>IF(Registro!F87&lt;&gt;"",F86+1,0)</f>
      </c>
      <c r="G87">
        <f>IF(Registro!G87&lt;&gt;"",G86+1,0)</f>
      </c>
    </row>
    <row r="88" spans="1:7" x14ac:dyDescent="0.25">
      <c r="A88" s="14">
        <v>46109.25</v>
      </c>
      <c r="B88">
        <f>IF(Registro!B88&lt;&gt;"",B87+1,0)</f>
      </c>
      <c r="C88">
        <f>IF(Registro!C88&lt;&gt;"",C87+1,0)</f>
      </c>
      <c r="D88">
        <f>IF(Registro!D88&lt;&gt;"",D87+1,0)</f>
      </c>
      <c r="E88">
        <f>IF(Registro!E88&lt;&gt;"",E87+1,0)</f>
      </c>
      <c r="F88">
        <f>IF(Registro!F88&lt;&gt;"",F87+1,0)</f>
      </c>
      <c r="G88">
        <f>IF(Registro!G88&lt;&gt;"",G87+1,0)</f>
      </c>
    </row>
    <row r="89" spans="1:7" x14ac:dyDescent="0.25">
      <c r="A89" s="14">
        <v>46110.25</v>
      </c>
      <c r="B89">
        <f>IF(Registro!B89&lt;&gt;"",B88+1,0)</f>
      </c>
      <c r="C89">
        <f>IF(Registro!C89&lt;&gt;"",C88+1,0)</f>
      </c>
      <c r="D89">
        <f>IF(Registro!D89&lt;&gt;"",D88+1,0)</f>
      </c>
      <c r="E89">
        <f>IF(Registro!E89&lt;&gt;"",E88+1,0)</f>
      </c>
      <c r="F89">
        <f>IF(Registro!F89&lt;&gt;"",F88+1,0)</f>
      </c>
      <c r="G89">
        <f>IF(Registro!G89&lt;&gt;"",G88+1,0)</f>
      </c>
    </row>
    <row r="90" spans="1:7" x14ac:dyDescent="0.25">
      <c r="A90" s="14">
        <v>46111.25</v>
      </c>
      <c r="B90">
        <f>IF(Registro!B90&lt;&gt;"",B89+1,0)</f>
      </c>
      <c r="C90">
        <f>IF(Registro!C90&lt;&gt;"",C89+1,0)</f>
      </c>
      <c r="D90">
        <f>IF(Registro!D90&lt;&gt;"",D89+1,0)</f>
      </c>
      <c r="E90">
        <f>IF(Registro!E90&lt;&gt;"",E89+1,0)</f>
      </c>
      <c r="F90">
        <f>IF(Registro!F90&lt;&gt;"",F89+1,0)</f>
      </c>
      <c r="G90">
        <f>IF(Registro!G90&lt;&gt;"",G89+1,0)</f>
      </c>
    </row>
    <row r="91" spans="1:7" x14ac:dyDescent="0.25">
      <c r="A91" s="14">
        <v>46112.25</v>
      </c>
      <c r="B91">
        <f>IF(Registro!B91&lt;&gt;"",B90+1,0)</f>
      </c>
      <c r="C91">
        <f>IF(Registro!C91&lt;&gt;"",C90+1,0)</f>
      </c>
      <c r="D91">
        <f>IF(Registro!D91&lt;&gt;"",D90+1,0)</f>
      </c>
      <c r="E91">
        <f>IF(Registro!E91&lt;&gt;"",E90+1,0)</f>
      </c>
      <c r="F91">
        <f>IF(Registro!F91&lt;&gt;"",F90+1,0)</f>
      </c>
      <c r="G91">
        <f>IF(Registro!G91&lt;&gt;"",G90+1,0)</f>
      </c>
    </row>
    <row r="92" spans="1:7" x14ac:dyDescent="0.25">
      <c r="A92" s="14">
        <v>46113.25</v>
      </c>
      <c r="B92">
        <f>IF(Registro!B92&lt;&gt;"",B91+1,0)</f>
      </c>
      <c r="C92">
        <f>IF(Registro!C92&lt;&gt;"",C91+1,0)</f>
      </c>
      <c r="D92">
        <f>IF(Registro!D92&lt;&gt;"",D91+1,0)</f>
      </c>
      <c r="E92">
        <f>IF(Registro!E92&lt;&gt;"",E91+1,0)</f>
      </c>
      <c r="F92">
        <f>IF(Registro!F92&lt;&gt;"",F91+1,0)</f>
      </c>
      <c r="G92">
        <f>IF(Registro!G92&lt;&gt;"",G91+1,0)</f>
      </c>
    </row>
    <row r="93" spans="1:7" x14ac:dyDescent="0.25">
      <c r="A93" s="14">
        <v>46114.25</v>
      </c>
      <c r="B93">
        <f>IF(Registro!B93&lt;&gt;"",B92+1,0)</f>
      </c>
      <c r="C93">
        <f>IF(Registro!C93&lt;&gt;"",C92+1,0)</f>
      </c>
      <c r="D93">
        <f>IF(Registro!D93&lt;&gt;"",D92+1,0)</f>
      </c>
      <c r="E93">
        <f>IF(Registro!E93&lt;&gt;"",E92+1,0)</f>
      </c>
      <c r="F93">
        <f>IF(Registro!F93&lt;&gt;"",F92+1,0)</f>
      </c>
      <c r="G93">
        <f>IF(Registro!G93&lt;&gt;"",G92+1,0)</f>
      </c>
    </row>
    <row r="94" spans="1:7" x14ac:dyDescent="0.25">
      <c r="A94" s="14">
        <v>46115.25</v>
      </c>
      <c r="B94">
        <f>IF(Registro!B94&lt;&gt;"",B93+1,0)</f>
      </c>
      <c r="C94">
        <f>IF(Registro!C94&lt;&gt;"",C93+1,0)</f>
      </c>
      <c r="D94">
        <f>IF(Registro!D94&lt;&gt;"",D93+1,0)</f>
      </c>
      <c r="E94">
        <f>IF(Registro!E94&lt;&gt;"",E93+1,0)</f>
      </c>
      <c r="F94">
        <f>IF(Registro!F94&lt;&gt;"",F93+1,0)</f>
      </c>
      <c r="G94">
        <f>IF(Registro!G94&lt;&gt;"",G93+1,0)</f>
      </c>
    </row>
    <row r="95" spans="1:7" x14ac:dyDescent="0.25">
      <c r="A95" s="14">
        <v>46116.25</v>
      </c>
      <c r="B95">
        <f>IF(Registro!B95&lt;&gt;"",B94+1,0)</f>
      </c>
      <c r="C95">
        <f>IF(Registro!C95&lt;&gt;"",C94+1,0)</f>
      </c>
      <c r="D95">
        <f>IF(Registro!D95&lt;&gt;"",D94+1,0)</f>
      </c>
      <c r="E95">
        <f>IF(Registro!E95&lt;&gt;"",E94+1,0)</f>
      </c>
      <c r="F95">
        <f>IF(Registro!F95&lt;&gt;"",F94+1,0)</f>
      </c>
      <c r="G95">
        <f>IF(Registro!G95&lt;&gt;"",G94+1,0)</f>
      </c>
    </row>
    <row r="96" spans="1:7" x14ac:dyDescent="0.25">
      <c r="A96" s="14">
        <v>46117.25</v>
      </c>
      <c r="B96">
        <f>IF(Registro!B96&lt;&gt;"",B95+1,0)</f>
      </c>
      <c r="C96">
        <f>IF(Registro!C96&lt;&gt;"",C95+1,0)</f>
      </c>
      <c r="D96">
        <f>IF(Registro!D96&lt;&gt;"",D95+1,0)</f>
      </c>
      <c r="E96">
        <f>IF(Registro!E96&lt;&gt;"",E95+1,0)</f>
      </c>
      <c r="F96">
        <f>IF(Registro!F96&lt;&gt;"",F95+1,0)</f>
      </c>
      <c r="G96">
        <f>IF(Registro!G96&lt;&gt;"",G95+1,0)</f>
      </c>
    </row>
    <row r="97" spans="1:7" x14ac:dyDescent="0.25">
      <c r="A97" s="14">
        <v>46118.25</v>
      </c>
      <c r="B97">
        <f>IF(Registro!B97&lt;&gt;"",B96+1,0)</f>
      </c>
      <c r="C97">
        <f>IF(Registro!C97&lt;&gt;"",C96+1,0)</f>
      </c>
      <c r="D97">
        <f>IF(Registro!D97&lt;&gt;"",D96+1,0)</f>
      </c>
      <c r="E97">
        <f>IF(Registro!E97&lt;&gt;"",E96+1,0)</f>
      </c>
      <c r="F97">
        <f>IF(Registro!F97&lt;&gt;"",F96+1,0)</f>
      </c>
      <c r="G97">
        <f>IF(Registro!G97&lt;&gt;"",G96+1,0)</f>
      </c>
    </row>
    <row r="98" spans="1:7" x14ac:dyDescent="0.25">
      <c r="A98" s="14">
        <v>46119.25</v>
      </c>
      <c r="B98">
        <f>IF(Registro!B98&lt;&gt;"",B97+1,0)</f>
      </c>
      <c r="C98">
        <f>IF(Registro!C98&lt;&gt;"",C97+1,0)</f>
      </c>
      <c r="D98">
        <f>IF(Registro!D98&lt;&gt;"",D97+1,0)</f>
      </c>
      <c r="E98">
        <f>IF(Registro!E98&lt;&gt;"",E97+1,0)</f>
      </c>
      <c r="F98">
        <f>IF(Registro!F98&lt;&gt;"",F97+1,0)</f>
      </c>
      <c r="G98">
        <f>IF(Registro!G98&lt;&gt;"",G97+1,0)</f>
      </c>
    </row>
    <row r="99" spans="1:7" x14ac:dyDescent="0.25">
      <c r="A99" s="14">
        <v>46120.25</v>
      </c>
      <c r="B99">
        <f>IF(Registro!B99&lt;&gt;"",B98+1,0)</f>
      </c>
      <c r="C99">
        <f>IF(Registro!C99&lt;&gt;"",C98+1,0)</f>
      </c>
      <c r="D99">
        <f>IF(Registro!D99&lt;&gt;"",D98+1,0)</f>
      </c>
      <c r="E99">
        <f>IF(Registro!E99&lt;&gt;"",E98+1,0)</f>
      </c>
      <c r="F99">
        <f>IF(Registro!F99&lt;&gt;"",F98+1,0)</f>
      </c>
      <c r="G99">
        <f>IF(Registro!G99&lt;&gt;"",G98+1,0)</f>
      </c>
    </row>
    <row r="100" spans="1:7" x14ac:dyDescent="0.25">
      <c r="A100" s="14">
        <v>46121.25</v>
      </c>
      <c r="B100">
        <f>IF(Registro!B100&lt;&gt;"",B99+1,0)</f>
      </c>
      <c r="C100">
        <f>IF(Registro!C100&lt;&gt;"",C99+1,0)</f>
      </c>
      <c r="D100">
        <f>IF(Registro!D100&lt;&gt;"",D99+1,0)</f>
      </c>
      <c r="E100">
        <f>IF(Registro!E100&lt;&gt;"",E99+1,0)</f>
      </c>
      <c r="F100">
        <f>IF(Registro!F100&lt;&gt;"",F99+1,0)</f>
      </c>
      <c r="G100">
        <f>IF(Registro!G100&lt;&gt;"",G99+1,0)</f>
      </c>
    </row>
    <row r="101" spans="1:7" x14ac:dyDescent="0.25">
      <c r="A101" s="14">
        <v>46122.25</v>
      </c>
      <c r="B101">
        <f>IF(Registro!B101&lt;&gt;"",B100+1,0)</f>
      </c>
      <c r="C101">
        <f>IF(Registro!C101&lt;&gt;"",C100+1,0)</f>
      </c>
      <c r="D101">
        <f>IF(Registro!D101&lt;&gt;"",D100+1,0)</f>
      </c>
      <c r="E101">
        <f>IF(Registro!E101&lt;&gt;"",E100+1,0)</f>
      </c>
      <c r="F101">
        <f>IF(Registro!F101&lt;&gt;"",F100+1,0)</f>
      </c>
      <c r="G101">
        <f>IF(Registro!G101&lt;&gt;"",G100+1,0)</f>
      </c>
    </row>
    <row r="102" spans="1:7" x14ac:dyDescent="0.25">
      <c r="A102" s="14">
        <v>46123.25</v>
      </c>
      <c r="B102">
        <f>IF(Registro!B102&lt;&gt;"",B101+1,0)</f>
      </c>
      <c r="C102">
        <f>IF(Registro!C102&lt;&gt;"",C101+1,0)</f>
      </c>
      <c r="D102">
        <f>IF(Registro!D102&lt;&gt;"",D101+1,0)</f>
      </c>
      <c r="E102">
        <f>IF(Registro!E102&lt;&gt;"",E101+1,0)</f>
      </c>
      <c r="F102">
        <f>IF(Registro!F102&lt;&gt;"",F101+1,0)</f>
      </c>
      <c r="G102">
        <f>IF(Registro!G102&lt;&gt;"",G101+1,0)</f>
      </c>
    </row>
    <row r="103" spans="1:7" x14ac:dyDescent="0.25">
      <c r="A103" s="14">
        <v>46124.25</v>
      </c>
      <c r="B103">
        <f>IF(Registro!B103&lt;&gt;"",B102+1,0)</f>
      </c>
      <c r="C103">
        <f>IF(Registro!C103&lt;&gt;"",C102+1,0)</f>
      </c>
      <c r="D103">
        <f>IF(Registro!D103&lt;&gt;"",D102+1,0)</f>
      </c>
      <c r="E103">
        <f>IF(Registro!E103&lt;&gt;"",E102+1,0)</f>
      </c>
      <c r="F103">
        <f>IF(Registro!F103&lt;&gt;"",F102+1,0)</f>
      </c>
      <c r="G103">
        <f>IF(Registro!G103&lt;&gt;"",G102+1,0)</f>
      </c>
    </row>
    <row r="104" spans="1:7" x14ac:dyDescent="0.25">
      <c r="A104" s="14">
        <v>46125.25</v>
      </c>
      <c r="B104">
        <f>IF(Registro!B104&lt;&gt;"",B103+1,0)</f>
      </c>
      <c r="C104">
        <f>IF(Registro!C104&lt;&gt;"",C103+1,0)</f>
      </c>
      <c r="D104">
        <f>IF(Registro!D104&lt;&gt;"",D103+1,0)</f>
      </c>
      <c r="E104">
        <f>IF(Registro!E104&lt;&gt;"",E103+1,0)</f>
      </c>
      <c r="F104">
        <f>IF(Registro!F104&lt;&gt;"",F103+1,0)</f>
      </c>
      <c r="G104">
        <f>IF(Registro!G104&lt;&gt;"",G103+1,0)</f>
      </c>
    </row>
    <row r="105" spans="1:7" x14ac:dyDescent="0.25">
      <c r="A105" s="14">
        <v>46126.25</v>
      </c>
      <c r="B105">
        <f>IF(Registro!B105&lt;&gt;"",B104+1,0)</f>
      </c>
      <c r="C105">
        <f>IF(Registro!C105&lt;&gt;"",C104+1,0)</f>
      </c>
      <c r="D105">
        <f>IF(Registro!D105&lt;&gt;"",D104+1,0)</f>
      </c>
      <c r="E105">
        <f>IF(Registro!E105&lt;&gt;"",E104+1,0)</f>
      </c>
      <c r="F105">
        <f>IF(Registro!F105&lt;&gt;"",F104+1,0)</f>
      </c>
      <c r="G105">
        <f>IF(Registro!G105&lt;&gt;"",G104+1,0)</f>
      </c>
    </row>
    <row r="106" spans="1:7" x14ac:dyDescent="0.25">
      <c r="A106" s="14">
        <v>46127.25</v>
      </c>
      <c r="B106">
        <f>IF(Registro!B106&lt;&gt;"",B105+1,0)</f>
      </c>
      <c r="C106">
        <f>IF(Registro!C106&lt;&gt;"",C105+1,0)</f>
      </c>
      <c r="D106">
        <f>IF(Registro!D106&lt;&gt;"",D105+1,0)</f>
      </c>
      <c r="E106">
        <f>IF(Registro!E106&lt;&gt;"",E105+1,0)</f>
      </c>
      <c r="F106">
        <f>IF(Registro!F106&lt;&gt;"",F105+1,0)</f>
      </c>
      <c r="G106">
        <f>IF(Registro!G106&lt;&gt;"",G105+1,0)</f>
      </c>
    </row>
    <row r="107" spans="1:7" x14ac:dyDescent="0.25">
      <c r="A107" s="14">
        <v>46128.25</v>
      </c>
      <c r="B107">
        <f>IF(Registro!B107&lt;&gt;"",B106+1,0)</f>
      </c>
      <c r="C107">
        <f>IF(Registro!C107&lt;&gt;"",C106+1,0)</f>
      </c>
      <c r="D107">
        <f>IF(Registro!D107&lt;&gt;"",D106+1,0)</f>
      </c>
      <c r="E107">
        <f>IF(Registro!E107&lt;&gt;"",E106+1,0)</f>
      </c>
      <c r="F107">
        <f>IF(Registro!F107&lt;&gt;"",F106+1,0)</f>
      </c>
      <c r="G107">
        <f>IF(Registro!G107&lt;&gt;"",G106+1,0)</f>
      </c>
    </row>
    <row r="108" spans="1:7" x14ac:dyDescent="0.25">
      <c r="A108" s="14">
        <v>46129.25</v>
      </c>
      <c r="B108">
        <f>IF(Registro!B108&lt;&gt;"",B107+1,0)</f>
      </c>
      <c r="C108">
        <f>IF(Registro!C108&lt;&gt;"",C107+1,0)</f>
      </c>
      <c r="D108">
        <f>IF(Registro!D108&lt;&gt;"",D107+1,0)</f>
      </c>
      <c r="E108">
        <f>IF(Registro!E108&lt;&gt;"",E107+1,0)</f>
      </c>
      <c r="F108">
        <f>IF(Registro!F108&lt;&gt;"",F107+1,0)</f>
      </c>
      <c r="G108">
        <f>IF(Registro!G108&lt;&gt;"",G107+1,0)</f>
      </c>
    </row>
    <row r="109" spans="1:7" x14ac:dyDescent="0.25">
      <c r="A109" s="14">
        <v>46130.25</v>
      </c>
      <c r="B109">
        <f>IF(Registro!B109&lt;&gt;"",B108+1,0)</f>
      </c>
      <c r="C109">
        <f>IF(Registro!C109&lt;&gt;"",C108+1,0)</f>
      </c>
      <c r="D109">
        <f>IF(Registro!D109&lt;&gt;"",D108+1,0)</f>
      </c>
      <c r="E109">
        <f>IF(Registro!E109&lt;&gt;"",E108+1,0)</f>
      </c>
      <c r="F109">
        <f>IF(Registro!F109&lt;&gt;"",F108+1,0)</f>
      </c>
      <c r="G109">
        <f>IF(Registro!G109&lt;&gt;"",G108+1,0)</f>
      </c>
    </row>
    <row r="110" spans="1:7" x14ac:dyDescent="0.25">
      <c r="A110" s="14">
        <v>46131.25</v>
      </c>
      <c r="B110">
        <f>IF(Registro!B110&lt;&gt;"",B109+1,0)</f>
      </c>
      <c r="C110">
        <f>IF(Registro!C110&lt;&gt;"",C109+1,0)</f>
      </c>
      <c r="D110">
        <f>IF(Registro!D110&lt;&gt;"",D109+1,0)</f>
      </c>
      <c r="E110">
        <f>IF(Registro!E110&lt;&gt;"",E109+1,0)</f>
      </c>
      <c r="F110">
        <f>IF(Registro!F110&lt;&gt;"",F109+1,0)</f>
      </c>
      <c r="G110">
        <f>IF(Registro!G110&lt;&gt;"",G109+1,0)</f>
      </c>
    </row>
    <row r="111" spans="1:7" x14ac:dyDescent="0.25">
      <c r="A111" s="14">
        <v>46132.25</v>
      </c>
      <c r="B111">
        <f>IF(Registro!B111&lt;&gt;"",B110+1,0)</f>
      </c>
      <c r="C111">
        <f>IF(Registro!C111&lt;&gt;"",C110+1,0)</f>
      </c>
      <c r="D111">
        <f>IF(Registro!D111&lt;&gt;"",D110+1,0)</f>
      </c>
      <c r="E111">
        <f>IF(Registro!E111&lt;&gt;"",E110+1,0)</f>
      </c>
      <c r="F111">
        <f>IF(Registro!F111&lt;&gt;"",F110+1,0)</f>
      </c>
      <c r="G111">
        <f>IF(Registro!G111&lt;&gt;"",G110+1,0)</f>
      </c>
    </row>
    <row r="112" spans="1:7" x14ac:dyDescent="0.25">
      <c r="A112" s="14">
        <v>46133.25</v>
      </c>
      <c r="B112">
        <f>IF(Registro!B112&lt;&gt;"",B111+1,0)</f>
      </c>
      <c r="C112">
        <f>IF(Registro!C112&lt;&gt;"",C111+1,0)</f>
      </c>
      <c r="D112">
        <f>IF(Registro!D112&lt;&gt;"",D111+1,0)</f>
      </c>
      <c r="E112">
        <f>IF(Registro!E112&lt;&gt;"",E111+1,0)</f>
      </c>
      <c r="F112">
        <f>IF(Registro!F112&lt;&gt;"",F111+1,0)</f>
      </c>
      <c r="G112">
        <f>IF(Registro!G112&lt;&gt;"",G111+1,0)</f>
      </c>
    </row>
    <row r="113" spans="1:7" x14ac:dyDescent="0.25">
      <c r="A113" s="14">
        <v>46134.25</v>
      </c>
      <c r="B113">
        <f>IF(Registro!B113&lt;&gt;"",B112+1,0)</f>
      </c>
      <c r="C113">
        <f>IF(Registro!C113&lt;&gt;"",C112+1,0)</f>
      </c>
      <c r="D113">
        <f>IF(Registro!D113&lt;&gt;"",D112+1,0)</f>
      </c>
      <c r="E113">
        <f>IF(Registro!E113&lt;&gt;"",E112+1,0)</f>
      </c>
      <c r="F113">
        <f>IF(Registro!F113&lt;&gt;"",F112+1,0)</f>
      </c>
      <c r="G113">
        <f>IF(Registro!G113&lt;&gt;"",G112+1,0)</f>
      </c>
    </row>
    <row r="114" spans="1:7" x14ac:dyDescent="0.25">
      <c r="A114" s="14">
        <v>46135.25</v>
      </c>
      <c r="B114">
        <f>IF(Registro!B114&lt;&gt;"",B113+1,0)</f>
      </c>
      <c r="C114">
        <f>IF(Registro!C114&lt;&gt;"",C113+1,0)</f>
      </c>
      <c r="D114">
        <f>IF(Registro!D114&lt;&gt;"",D113+1,0)</f>
      </c>
      <c r="E114">
        <f>IF(Registro!E114&lt;&gt;"",E113+1,0)</f>
      </c>
      <c r="F114">
        <f>IF(Registro!F114&lt;&gt;"",F113+1,0)</f>
      </c>
      <c r="G114">
        <f>IF(Registro!G114&lt;&gt;"",G113+1,0)</f>
      </c>
    </row>
    <row r="115" spans="1:7" x14ac:dyDescent="0.25">
      <c r="A115" s="14">
        <v>46136.25</v>
      </c>
      <c r="B115">
        <f>IF(Registro!B115&lt;&gt;"",B114+1,0)</f>
      </c>
      <c r="C115">
        <f>IF(Registro!C115&lt;&gt;"",C114+1,0)</f>
      </c>
      <c r="D115">
        <f>IF(Registro!D115&lt;&gt;"",D114+1,0)</f>
      </c>
      <c r="E115">
        <f>IF(Registro!E115&lt;&gt;"",E114+1,0)</f>
      </c>
      <c r="F115">
        <f>IF(Registro!F115&lt;&gt;"",F114+1,0)</f>
      </c>
      <c r="G115">
        <f>IF(Registro!G115&lt;&gt;"",G114+1,0)</f>
      </c>
    </row>
    <row r="116" spans="1:7" x14ac:dyDescent="0.25">
      <c r="A116" s="14">
        <v>46137.25</v>
      </c>
      <c r="B116">
        <f>IF(Registro!B116&lt;&gt;"",B115+1,0)</f>
      </c>
      <c r="C116">
        <f>IF(Registro!C116&lt;&gt;"",C115+1,0)</f>
      </c>
      <c r="D116">
        <f>IF(Registro!D116&lt;&gt;"",D115+1,0)</f>
      </c>
      <c r="E116">
        <f>IF(Registro!E116&lt;&gt;"",E115+1,0)</f>
      </c>
      <c r="F116">
        <f>IF(Registro!F116&lt;&gt;"",F115+1,0)</f>
      </c>
      <c r="G116">
        <f>IF(Registro!G116&lt;&gt;"",G115+1,0)</f>
      </c>
    </row>
    <row r="117" spans="1:7" x14ac:dyDescent="0.25">
      <c r="A117" s="14">
        <v>46138.25</v>
      </c>
      <c r="B117">
        <f>IF(Registro!B117&lt;&gt;"",B116+1,0)</f>
      </c>
      <c r="C117">
        <f>IF(Registro!C117&lt;&gt;"",C116+1,0)</f>
      </c>
      <c r="D117">
        <f>IF(Registro!D117&lt;&gt;"",D116+1,0)</f>
      </c>
      <c r="E117">
        <f>IF(Registro!E117&lt;&gt;"",E116+1,0)</f>
      </c>
      <c r="F117">
        <f>IF(Registro!F117&lt;&gt;"",F116+1,0)</f>
      </c>
      <c r="G117">
        <f>IF(Registro!G117&lt;&gt;"",G116+1,0)</f>
      </c>
    </row>
    <row r="118" spans="1:7" x14ac:dyDescent="0.25">
      <c r="A118" s="14">
        <v>46139.25</v>
      </c>
      <c r="B118">
        <f>IF(Registro!B118&lt;&gt;"",B117+1,0)</f>
      </c>
      <c r="C118">
        <f>IF(Registro!C118&lt;&gt;"",C117+1,0)</f>
      </c>
      <c r="D118">
        <f>IF(Registro!D118&lt;&gt;"",D117+1,0)</f>
      </c>
      <c r="E118">
        <f>IF(Registro!E118&lt;&gt;"",E117+1,0)</f>
      </c>
      <c r="F118">
        <f>IF(Registro!F118&lt;&gt;"",F117+1,0)</f>
      </c>
      <c r="G118">
        <f>IF(Registro!G118&lt;&gt;"",G117+1,0)</f>
      </c>
    </row>
    <row r="119" spans="1:7" x14ac:dyDescent="0.25">
      <c r="A119" s="14">
        <v>46140.25</v>
      </c>
      <c r="B119">
        <f>IF(Registro!B119&lt;&gt;"",B118+1,0)</f>
      </c>
      <c r="C119">
        <f>IF(Registro!C119&lt;&gt;"",C118+1,0)</f>
      </c>
      <c r="D119">
        <f>IF(Registro!D119&lt;&gt;"",D118+1,0)</f>
      </c>
      <c r="E119">
        <f>IF(Registro!E119&lt;&gt;"",E118+1,0)</f>
      </c>
      <c r="F119">
        <f>IF(Registro!F119&lt;&gt;"",F118+1,0)</f>
      </c>
      <c r="G119">
        <f>IF(Registro!G119&lt;&gt;"",G118+1,0)</f>
      </c>
    </row>
    <row r="120" spans="1:7" x14ac:dyDescent="0.25">
      <c r="A120" s="14">
        <v>46141.25</v>
      </c>
      <c r="B120">
        <f>IF(Registro!B120&lt;&gt;"",B119+1,0)</f>
      </c>
      <c r="C120">
        <f>IF(Registro!C120&lt;&gt;"",C119+1,0)</f>
      </c>
      <c r="D120">
        <f>IF(Registro!D120&lt;&gt;"",D119+1,0)</f>
      </c>
      <c r="E120">
        <f>IF(Registro!E120&lt;&gt;"",E119+1,0)</f>
      </c>
      <c r="F120">
        <f>IF(Registro!F120&lt;&gt;"",F119+1,0)</f>
      </c>
      <c r="G120">
        <f>IF(Registro!G120&lt;&gt;"",G119+1,0)</f>
      </c>
    </row>
    <row r="121" spans="1:7" x14ac:dyDescent="0.25">
      <c r="A121" s="14">
        <v>46142.25</v>
      </c>
      <c r="B121">
        <f>IF(Registro!B121&lt;&gt;"",B120+1,0)</f>
      </c>
      <c r="C121">
        <f>IF(Registro!C121&lt;&gt;"",C120+1,0)</f>
      </c>
      <c r="D121">
        <f>IF(Registro!D121&lt;&gt;"",D120+1,0)</f>
      </c>
      <c r="E121">
        <f>IF(Registro!E121&lt;&gt;"",E120+1,0)</f>
      </c>
      <c r="F121">
        <f>IF(Registro!F121&lt;&gt;"",F120+1,0)</f>
      </c>
      <c r="G121">
        <f>IF(Registro!G121&lt;&gt;"",G120+1,0)</f>
      </c>
    </row>
    <row r="122" spans="1:7" x14ac:dyDescent="0.25">
      <c r="A122" s="14">
        <v>46143.25</v>
      </c>
      <c r="B122">
        <f>IF(Registro!B122&lt;&gt;"",B121+1,0)</f>
      </c>
      <c r="C122">
        <f>IF(Registro!C122&lt;&gt;"",C121+1,0)</f>
      </c>
      <c r="D122">
        <f>IF(Registro!D122&lt;&gt;"",D121+1,0)</f>
      </c>
      <c r="E122">
        <f>IF(Registro!E122&lt;&gt;"",E121+1,0)</f>
      </c>
      <c r="F122">
        <f>IF(Registro!F122&lt;&gt;"",F121+1,0)</f>
      </c>
      <c r="G122">
        <f>IF(Registro!G122&lt;&gt;"",G121+1,0)</f>
      </c>
    </row>
    <row r="123" spans="1:7" x14ac:dyDescent="0.25">
      <c r="A123" s="14">
        <v>46144.25</v>
      </c>
      <c r="B123">
        <f>IF(Registro!B123&lt;&gt;"",B122+1,0)</f>
      </c>
      <c r="C123">
        <f>IF(Registro!C123&lt;&gt;"",C122+1,0)</f>
      </c>
      <c r="D123">
        <f>IF(Registro!D123&lt;&gt;"",D122+1,0)</f>
      </c>
      <c r="E123">
        <f>IF(Registro!E123&lt;&gt;"",E122+1,0)</f>
      </c>
      <c r="F123">
        <f>IF(Registro!F123&lt;&gt;"",F122+1,0)</f>
      </c>
      <c r="G123">
        <f>IF(Registro!G123&lt;&gt;"",G122+1,0)</f>
      </c>
    </row>
    <row r="124" spans="1:7" x14ac:dyDescent="0.25">
      <c r="A124" s="14">
        <v>46145.25</v>
      </c>
      <c r="B124">
        <f>IF(Registro!B124&lt;&gt;"",B123+1,0)</f>
      </c>
      <c r="C124">
        <f>IF(Registro!C124&lt;&gt;"",C123+1,0)</f>
      </c>
      <c r="D124">
        <f>IF(Registro!D124&lt;&gt;"",D123+1,0)</f>
      </c>
      <c r="E124">
        <f>IF(Registro!E124&lt;&gt;"",E123+1,0)</f>
      </c>
      <c r="F124">
        <f>IF(Registro!F124&lt;&gt;"",F123+1,0)</f>
      </c>
      <c r="G124">
        <f>IF(Registro!G124&lt;&gt;"",G123+1,0)</f>
      </c>
    </row>
    <row r="125" spans="1:7" x14ac:dyDescent="0.25">
      <c r="A125" s="14">
        <v>46146.25</v>
      </c>
      <c r="B125">
        <f>IF(Registro!B125&lt;&gt;"",B124+1,0)</f>
      </c>
      <c r="C125">
        <f>IF(Registro!C125&lt;&gt;"",C124+1,0)</f>
      </c>
      <c r="D125">
        <f>IF(Registro!D125&lt;&gt;"",D124+1,0)</f>
      </c>
      <c r="E125">
        <f>IF(Registro!E125&lt;&gt;"",E124+1,0)</f>
      </c>
      <c r="F125">
        <f>IF(Registro!F125&lt;&gt;"",F124+1,0)</f>
      </c>
      <c r="G125">
        <f>IF(Registro!G125&lt;&gt;"",G124+1,0)</f>
      </c>
    </row>
    <row r="126" spans="1:7" x14ac:dyDescent="0.25">
      <c r="A126" s="14">
        <v>46147.25</v>
      </c>
      <c r="B126">
        <f>IF(Registro!B126&lt;&gt;"",B125+1,0)</f>
      </c>
      <c r="C126">
        <f>IF(Registro!C126&lt;&gt;"",C125+1,0)</f>
      </c>
      <c r="D126">
        <f>IF(Registro!D126&lt;&gt;"",D125+1,0)</f>
      </c>
      <c r="E126">
        <f>IF(Registro!E126&lt;&gt;"",E125+1,0)</f>
      </c>
      <c r="F126">
        <f>IF(Registro!F126&lt;&gt;"",F125+1,0)</f>
      </c>
      <c r="G126">
        <f>IF(Registro!G126&lt;&gt;"",G125+1,0)</f>
      </c>
    </row>
    <row r="127" spans="1:7" x14ac:dyDescent="0.25">
      <c r="A127" s="14">
        <v>46148.25</v>
      </c>
      <c r="B127">
        <f>IF(Registro!B127&lt;&gt;"",B126+1,0)</f>
      </c>
      <c r="C127">
        <f>IF(Registro!C127&lt;&gt;"",C126+1,0)</f>
      </c>
      <c r="D127">
        <f>IF(Registro!D127&lt;&gt;"",D126+1,0)</f>
      </c>
      <c r="E127">
        <f>IF(Registro!E127&lt;&gt;"",E126+1,0)</f>
      </c>
      <c r="F127">
        <f>IF(Registro!F127&lt;&gt;"",F126+1,0)</f>
      </c>
      <c r="G127">
        <f>IF(Registro!G127&lt;&gt;"",G126+1,0)</f>
      </c>
    </row>
    <row r="128" spans="1:7" x14ac:dyDescent="0.25">
      <c r="A128" s="14">
        <v>46149.25</v>
      </c>
      <c r="B128">
        <f>IF(Registro!B128&lt;&gt;"",B127+1,0)</f>
      </c>
      <c r="C128">
        <f>IF(Registro!C128&lt;&gt;"",C127+1,0)</f>
      </c>
      <c r="D128">
        <f>IF(Registro!D128&lt;&gt;"",D127+1,0)</f>
      </c>
      <c r="E128">
        <f>IF(Registro!E128&lt;&gt;"",E127+1,0)</f>
      </c>
      <c r="F128">
        <f>IF(Registro!F128&lt;&gt;"",F127+1,0)</f>
      </c>
      <c r="G128">
        <f>IF(Registro!G128&lt;&gt;"",G127+1,0)</f>
      </c>
    </row>
    <row r="129" spans="1:7" x14ac:dyDescent="0.25">
      <c r="A129" s="14">
        <v>46150.25</v>
      </c>
      <c r="B129">
        <f>IF(Registro!B129&lt;&gt;"",B128+1,0)</f>
      </c>
      <c r="C129">
        <f>IF(Registro!C129&lt;&gt;"",C128+1,0)</f>
      </c>
      <c r="D129">
        <f>IF(Registro!D129&lt;&gt;"",D128+1,0)</f>
      </c>
      <c r="E129">
        <f>IF(Registro!E129&lt;&gt;"",E128+1,0)</f>
      </c>
      <c r="F129">
        <f>IF(Registro!F129&lt;&gt;"",F128+1,0)</f>
      </c>
      <c r="G129">
        <f>IF(Registro!G129&lt;&gt;"",G128+1,0)</f>
      </c>
    </row>
    <row r="130" spans="1:7" x14ac:dyDescent="0.25">
      <c r="A130" s="14">
        <v>46151.25</v>
      </c>
      <c r="B130">
        <f>IF(Registro!B130&lt;&gt;"",B129+1,0)</f>
      </c>
      <c r="C130">
        <f>IF(Registro!C130&lt;&gt;"",C129+1,0)</f>
      </c>
      <c r="D130">
        <f>IF(Registro!D130&lt;&gt;"",D129+1,0)</f>
      </c>
      <c r="E130">
        <f>IF(Registro!E130&lt;&gt;"",E129+1,0)</f>
      </c>
      <c r="F130">
        <f>IF(Registro!F130&lt;&gt;"",F129+1,0)</f>
      </c>
      <c r="G130">
        <f>IF(Registro!G130&lt;&gt;"",G129+1,0)</f>
      </c>
    </row>
    <row r="131" spans="1:7" x14ac:dyDescent="0.25">
      <c r="A131" s="14">
        <v>46152.25</v>
      </c>
      <c r="B131">
        <f>IF(Registro!B131&lt;&gt;"",B130+1,0)</f>
      </c>
      <c r="C131">
        <f>IF(Registro!C131&lt;&gt;"",C130+1,0)</f>
      </c>
      <c r="D131">
        <f>IF(Registro!D131&lt;&gt;"",D130+1,0)</f>
      </c>
      <c r="E131">
        <f>IF(Registro!E131&lt;&gt;"",E130+1,0)</f>
      </c>
      <c r="F131">
        <f>IF(Registro!F131&lt;&gt;"",F130+1,0)</f>
      </c>
      <c r="G131">
        <f>IF(Registro!G131&lt;&gt;"",G130+1,0)</f>
      </c>
    </row>
    <row r="132" spans="1:7" x14ac:dyDescent="0.25">
      <c r="A132" s="14">
        <v>46153.25</v>
      </c>
      <c r="B132">
        <f>IF(Registro!B132&lt;&gt;"",B131+1,0)</f>
      </c>
      <c r="C132">
        <f>IF(Registro!C132&lt;&gt;"",C131+1,0)</f>
      </c>
      <c r="D132">
        <f>IF(Registro!D132&lt;&gt;"",D131+1,0)</f>
      </c>
      <c r="E132">
        <f>IF(Registro!E132&lt;&gt;"",E131+1,0)</f>
      </c>
      <c r="F132">
        <f>IF(Registro!F132&lt;&gt;"",F131+1,0)</f>
      </c>
      <c r="G132">
        <f>IF(Registro!G132&lt;&gt;"",G131+1,0)</f>
      </c>
    </row>
    <row r="133" spans="1:7" x14ac:dyDescent="0.25">
      <c r="A133" s="14">
        <v>46154.25</v>
      </c>
      <c r="B133">
        <f>IF(Registro!B133&lt;&gt;"",B132+1,0)</f>
      </c>
      <c r="C133">
        <f>IF(Registro!C133&lt;&gt;"",C132+1,0)</f>
      </c>
      <c r="D133">
        <f>IF(Registro!D133&lt;&gt;"",D132+1,0)</f>
      </c>
      <c r="E133">
        <f>IF(Registro!E133&lt;&gt;"",E132+1,0)</f>
      </c>
      <c r="F133">
        <f>IF(Registro!F133&lt;&gt;"",F132+1,0)</f>
      </c>
      <c r="G133">
        <f>IF(Registro!G133&lt;&gt;"",G132+1,0)</f>
      </c>
    </row>
    <row r="134" spans="1:7" x14ac:dyDescent="0.25">
      <c r="A134" s="14">
        <v>46155.25</v>
      </c>
      <c r="B134">
        <f>IF(Registro!B134&lt;&gt;"",B133+1,0)</f>
      </c>
      <c r="C134">
        <f>IF(Registro!C134&lt;&gt;"",C133+1,0)</f>
      </c>
      <c r="D134">
        <f>IF(Registro!D134&lt;&gt;"",D133+1,0)</f>
      </c>
      <c r="E134">
        <f>IF(Registro!E134&lt;&gt;"",E133+1,0)</f>
      </c>
      <c r="F134">
        <f>IF(Registro!F134&lt;&gt;"",F133+1,0)</f>
      </c>
      <c r="G134">
        <f>IF(Registro!G134&lt;&gt;"",G133+1,0)</f>
      </c>
    </row>
    <row r="135" spans="1:7" x14ac:dyDescent="0.25">
      <c r="A135" s="14">
        <v>46156.25</v>
      </c>
      <c r="B135">
        <f>IF(Registro!B135&lt;&gt;"",B134+1,0)</f>
      </c>
      <c r="C135">
        <f>IF(Registro!C135&lt;&gt;"",C134+1,0)</f>
      </c>
      <c r="D135">
        <f>IF(Registro!D135&lt;&gt;"",D134+1,0)</f>
      </c>
      <c r="E135">
        <f>IF(Registro!E135&lt;&gt;"",E134+1,0)</f>
      </c>
      <c r="F135">
        <f>IF(Registro!F135&lt;&gt;"",F134+1,0)</f>
      </c>
      <c r="G135">
        <f>IF(Registro!G135&lt;&gt;"",G134+1,0)</f>
      </c>
    </row>
    <row r="136" spans="1:7" x14ac:dyDescent="0.25">
      <c r="A136" s="14">
        <v>46157.25</v>
      </c>
      <c r="B136">
        <f>IF(Registro!B136&lt;&gt;"",B135+1,0)</f>
      </c>
      <c r="C136">
        <f>IF(Registro!C136&lt;&gt;"",C135+1,0)</f>
      </c>
      <c r="D136">
        <f>IF(Registro!D136&lt;&gt;"",D135+1,0)</f>
      </c>
      <c r="E136">
        <f>IF(Registro!E136&lt;&gt;"",E135+1,0)</f>
      </c>
      <c r="F136">
        <f>IF(Registro!F136&lt;&gt;"",F135+1,0)</f>
      </c>
      <c r="G136">
        <f>IF(Registro!G136&lt;&gt;"",G135+1,0)</f>
      </c>
    </row>
    <row r="137" spans="1:7" x14ac:dyDescent="0.25">
      <c r="A137" s="14">
        <v>46158.25</v>
      </c>
      <c r="B137">
        <f>IF(Registro!B137&lt;&gt;"",B136+1,0)</f>
      </c>
      <c r="C137">
        <f>IF(Registro!C137&lt;&gt;"",C136+1,0)</f>
      </c>
      <c r="D137">
        <f>IF(Registro!D137&lt;&gt;"",D136+1,0)</f>
      </c>
      <c r="E137">
        <f>IF(Registro!E137&lt;&gt;"",E136+1,0)</f>
      </c>
      <c r="F137">
        <f>IF(Registro!F137&lt;&gt;"",F136+1,0)</f>
      </c>
      <c r="G137">
        <f>IF(Registro!G137&lt;&gt;"",G136+1,0)</f>
      </c>
    </row>
    <row r="138" spans="1:7" x14ac:dyDescent="0.25">
      <c r="A138" s="14">
        <v>46159.25</v>
      </c>
      <c r="B138">
        <f>IF(Registro!B138&lt;&gt;"",B137+1,0)</f>
      </c>
      <c r="C138">
        <f>IF(Registro!C138&lt;&gt;"",C137+1,0)</f>
      </c>
      <c r="D138">
        <f>IF(Registro!D138&lt;&gt;"",D137+1,0)</f>
      </c>
      <c r="E138">
        <f>IF(Registro!E138&lt;&gt;"",E137+1,0)</f>
      </c>
      <c r="F138">
        <f>IF(Registro!F138&lt;&gt;"",F137+1,0)</f>
      </c>
      <c r="G138">
        <f>IF(Registro!G138&lt;&gt;"",G137+1,0)</f>
      </c>
    </row>
    <row r="139" spans="1:7" x14ac:dyDescent="0.25">
      <c r="A139" s="14">
        <v>46160.25</v>
      </c>
      <c r="B139">
        <f>IF(Registro!B139&lt;&gt;"",B138+1,0)</f>
      </c>
      <c r="C139">
        <f>IF(Registro!C139&lt;&gt;"",C138+1,0)</f>
      </c>
      <c r="D139">
        <f>IF(Registro!D139&lt;&gt;"",D138+1,0)</f>
      </c>
      <c r="E139">
        <f>IF(Registro!E139&lt;&gt;"",E138+1,0)</f>
      </c>
      <c r="F139">
        <f>IF(Registro!F139&lt;&gt;"",F138+1,0)</f>
      </c>
      <c r="G139">
        <f>IF(Registro!G139&lt;&gt;"",G138+1,0)</f>
      </c>
    </row>
    <row r="140" spans="1:7" x14ac:dyDescent="0.25">
      <c r="A140" s="14">
        <v>46161.25</v>
      </c>
      <c r="B140">
        <f>IF(Registro!B140&lt;&gt;"",B139+1,0)</f>
      </c>
      <c r="C140">
        <f>IF(Registro!C140&lt;&gt;"",C139+1,0)</f>
      </c>
      <c r="D140">
        <f>IF(Registro!D140&lt;&gt;"",D139+1,0)</f>
      </c>
      <c r="E140">
        <f>IF(Registro!E140&lt;&gt;"",E139+1,0)</f>
      </c>
      <c r="F140">
        <f>IF(Registro!F140&lt;&gt;"",F139+1,0)</f>
      </c>
      <c r="G140">
        <f>IF(Registro!G140&lt;&gt;"",G139+1,0)</f>
      </c>
    </row>
    <row r="141" spans="1:7" x14ac:dyDescent="0.25">
      <c r="A141" s="14">
        <v>46162.25</v>
      </c>
      <c r="B141">
        <f>IF(Registro!B141&lt;&gt;"",B140+1,0)</f>
      </c>
      <c r="C141">
        <f>IF(Registro!C141&lt;&gt;"",C140+1,0)</f>
      </c>
      <c r="D141">
        <f>IF(Registro!D141&lt;&gt;"",D140+1,0)</f>
      </c>
      <c r="E141">
        <f>IF(Registro!E141&lt;&gt;"",E140+1,0)</f>
      </c>
      <c r="F141">
        <f>IF(Registro!F141&lt;&gt;"",F140+1,0)</f>
      </c>
      <c r="G141">
        <f>IF(Registro!G141&lt;&gt;"",G140+1,0)</f>
      </c>
    </row>
    <row r="142" spans="1:7" x14ac:dyDescent="0.25">
      <c r="A142" s="14">
        <v>46163.25</v>
      </c>
      <c r="B142">
        <f>IF(Registro!B142&lt;&gt;"",B141+1,0)</f>
      </c>
      <c r="C142">
        <f>IF(Registro!C142&lt;&gt;"",C141+1,0)</f>
      </c>
      <c r="D142">
        <f>IF(Registro!D142&lt;&gt;"",D141+1,0)</f>
      </c>
      <c r="E142">
        <f>IF(Registro!E142&lt;&gt;"",E141+1,0)</f>
      </c>
      <c r="F142">
        <f>IF(Registro!F142&lt;&gt;"",F141+1,0)</f>
      </c>
      <c r="G142">
        <f>IF(Registro!G142&lt;&gt;"",G141+1,0)</f>
      </c>
    </row>
    <row r="143" spans="1:7" x14ac:dyDescent="0.25">
      <c r="A143" s="14">
        <v>46164.25</v>
      </c>
      <c r="B143">
        <f>IF(Registro!B143&lt;&gt;"",B142+1,0)</f>
      </c>
      <c r="C143">
        <f>IF(Registro!C143&lt;&gt;"",C142+1,0)</f>
      </c>
      <c r="D143">
        <f>IF(Registro!D143&lt;&gt;"",D142+1,0)</f>
      </c>
      <c r="E143">
        <f>IF(Registro!E143&lt;&gt;"",E142+1,0)</f>
      </c>
      <c r="F143">
        <f>IF(Registro!F143&lt;&gt;"",F142+1,0)</f>
      </c>
      <c r="G143">
        <f>IF(Registro!G143&lt;&gt;"",G142+1,0)</f>
      </c>
    </row>
    <row r="144" spans="1:7" x14ac:dyDescent="0.25">
      <c r="A144" s="14">
        <v>46165.25</v>
      </c>
      <c r="B144">
        <f>IF(Registro!B144&lt;&gt;"",B143+1,0)</f>
      </c>
      <c r="C144">
        <f>IF(Registro!C144&lt;&gt;"",C143+1,0)</f>
      </c>
      <c r="D144">
        <f>IF(Registro!D144&lt;&gt;"",D143+1,0)</f>
      </c>
      <c r="E144">
        <f>IF(Registro!E144&lt;&gt;"",E143+1,0)</f>
      </c>
      <c r="F144">
        <f>IF(Registro!F144&lt;&gt;"",F143+1,0)</f>
      </c>
      <c r="G144">
        <f>IF(Registro!G144&lt;&gt;"",G143+1,0)</f>
      </c>
    </row>
    <row r="145" spans="1:7" x14ac:dyDescent="0.25">
      <c r="A145" s="14">
        <v>46166.25</v>
      </c>
      <c r="B145">
        <f>IF(Registro!B145&lt;&gt;"",B144+1,0)</f>
      </c>
      <c r="C145">
        <f>IF(Registro!C145&lt;&gt;"",C144+1,0)</f>
      </c>
      <c r="D145">
        <f>IF(Registro!D145&lt;&gt;"",D144+1,0)</f>
      </c>
      <c r="E145">
        <f>IF(Registro!E145&lt;&gt;"",E144+1,0)</f>
      </c>
      <c r="F145">
        <f>IF(Registro!F145&lt;&gt;"",F144+1,0)</f>
      </c>
      <c r="G145">
        <f>IF(Registro!G145&lt;&gt;"",G144+1,0)</f>
      </c>
    </row>
    <row r="146" spans="1:7" x14ac:dyDescent="0.25">
      <c r="A146" s="14">
        <v>46167.25</v>
      </c>
      <c r="B146">
        <f>IF(Registro!B146&lt;&gt;"",B145+1,0)</f>
      </c>
      <c r="C146">
        <f>IF(Registro!C146&lt;&gt;"",C145+1,0)</f>
      </c>
      <c r="D146">
        <f>IF(Registro!D146&lt;&gt;"",D145+1,0)</f>
      </c>
      <c r="E146">
        <f>IF(Registro!E146&lt;&gt;"",E145+1,0)</f>
      </c>
      <c r="F146">
        <f>IF(Registro!F146&lt;&gt;"",F145+1,0)</f>
      </c>
      <c r="G146">
        <f>IF(Registro!G146&lt;&gt;"",G145+1,0)</f>
      </c>
    </row>
    <row r="147" spans="1:7" x14ac:dyDescent="0.25">
      <c r="A147" s="14">
        <v>46168.25</v>
      </c>
      <c r="B147">
        <f>IF(Registro!B147&lt;&gt;"",B146+1,0)</f>
      </c>
      <c r="C147">
        <f>IF(Registro!C147&lt;&gt;"",C146+1,0)</f>
      </c>
      <c r="D147">
        <f>IF(Registro!D147&lt;&gt;"",D146+1,0)</f>
      </c>
      <c r="E147">
        <f>IF(Registro!E147&lt;&gt;"",E146+1,0)</f>
      </c>
      <c r="F147">
        <f>IF(Registro!F147&lt;&gt;"",F146+1,0)</f>
      </c>
      <c r="G147">
        <f>IF(Registro!G147&lt;&gt;"",G146+1,0)</f>
      </c>
    </row>
    <row r="148" spans="1:7" x14ac:dyDescent="0.25">
      <c r="A148" s="14">
        <v>46169.25</v>
      </c>
      <c r="B148">
        <f>IF(Registro!B148&lt;&gt;"",B147+1,0)</f>
      </c>
      <c r="C148">
        <f>IF(Registro!C148&lt;&gt;"",C147+1,0)</f>
      </c>
      <c r="D148">
        <f>IF(Registro!D148&lt;&gt;"",D147+1,0)</f>
      </c>
      <c r="E148">
        <f>IF(Registro!E148&lt;&gt;"",E147+1,0)</f>
      </c>
      <c r="F148">
        <f>IF(Registro!F148&lt;&gt;"",F147+1,0)</f>
      </c>
      <c r="G148">
        <f>IF(Registro!G148&lt;&gt;"",G147+1,0)</f>
      </c>
    </row>
    <row r="149" spans="1:7" x14ac:dyDescent="0.25">
      <c r="A149" s="14">
        <v>46170.25</v>
      </c>
      <c r="B149">
        <f>IF(Registro!B149&lt;&gt;"",B148+1,0)</f>
      </c>
      <c r="C149">
        <f>IF(Registro!C149&lt;&gt;"",C148+1,0)</f>
      </c>
      <c r="D149">
        <f>IF(Registro!D149&lt;&gt;"",D148+1,0)</f>
      </c>
      <c r="E149">
        <f>IF(Registro!E149&lt;&gt;"",E148+1,0)</f>
      </c>
      <c r="F149">
        <f>IF(Registro!F149&lt;&gt;"",F148+1,0)</f>
      </c>
      <c r="G149">
        <f>IF(Registro!G149&lt;&gt;"",G148+1,0)</f>
      </c>
    </row>
    <row r="150" spans="1:7" x14ac:dyDescent="0.25">
      <c r="A150" s="14">
        <v>46171.25</v>
      </c>
      <c r="B150">
        <f>IF(Registro!B150&lt;&gt;"",B149+1,0)</f>
      </c>
      <c r="C150">
        <f>IF(Registro!C150&lt;&gt;"",C149+1,0)</f>
      </c>
      <c r="D150">
        <f>IF(Registro!D150&lt;&gt;"",D149+1,0)</f>
      </c>
      <c r="E150">
        <f>IF(Registro!E150&lt;&gt;"",E149+1,0)</f>
      </c>
      <c r="F150">
        <f>IF(Registro!F150&lt;&gt;"",F149+1,0)</f>
      </c>
      <c r="G150">
        <f>IF(Registro!G150&lt;&gt;"",G149+1,0)</f>
      </c>
    </row>
    <row r="151" spans="1:7" x14ac:dyDescent="0.25">
      <c r="A151" s="14">
        <v>46172.25</v>
      </c>
      <c r="B151">
        <f>IF(Registro!B151&lt;&gt;"",B150+1,0)</f>
      </c>
      <c r="C151">
        <f>IF(Registro!C151&lt;&gt;"",C150+1,0)</f>
      </c>
      <c r="D151">
        <f>IF(Registro!D151&lt;&gt;"",D150+1,0)</f>
      </c>
      <c r="E151">
        <f>IF(Registro!E151&lt;&gt;"",E150+1,0)</f>
      </c>
      <c r="F151">
        <f>IF(Registro!F151&lt;&gt;"",F150+1,0)</f>
      </c>
      <c r="G151">
        <f>IF(Registro!G151&lt;&gt;"",G150+1,0)</f>
      </c>
    </row>
    <row r="152" spans="1:7" x14ac:dyDescent="0.25">
      <c r="A152" s="14">
        <v>46173.25</v>
      </c>
      <c r="B152">
        <f>IF(Registro!B152&lt;&gt;"",B151+1,0)</f>
      </c>
      <c r="C152">
        <f>IF(Registro!C152&lt;&gt;"",C151+1,0)</f>
      </c>
      <c r="D152">
        <f>IF(Registro!D152&lt;&gt;"",D151+1,0)</f>
      </c>
      <c r="E152">
        <f>IF(Registro!E152&lt;&gt;"",E151+1,0)</f>
      </c>
      <c r="F152">
        <f>IF(Registro!F152&lt;&gt;"",F151+1,0)</f>
      </c>
      <c r="G152">
        <f>IF(Registro!G152&lt;&gt;"",G151+1,0)</f>
      </c>
    </row>
    <row r="153" spans="1:7" x14ac:dyDescent="0.25">
      <c r="A153" s="14">
        <v>46174.25</v>
      </c>
      <c r="B153">
        <f>IF(Registro!B153&lt;&gt;"",B152+1,0)</f>
      </c>
      <c r="C153">
        <f>IF(Registro!C153&lt;&gt;"",C152+1,0)</f>
      </c>
      <c r="D153">
        <f>IF(Registro!D153&lt;&gt;"",D152+1,0)</f>
      </c>
      <c r="E153">
        <f>IF(Registro!E153&lt;&gt;"",E152+1,0)</f>
      </c>
      <c r="F153">
        <f>IF(Registro!F153&lt;&gt;"",F152+1,0)</f>
      </c>
      <c r="G153">
        <f>IF(Registro!G153&lt;&gt;"",G152+1,0)</f>
      </c>
    </row>
    <row r="154" spans="1:7" x14ac:dyDescent="0.25">
      <c r="A154" s="14">
        <v>46175.25</v>
      </c>
      <c r="B154">
        <f>IF(Registro!B154&lt;&gt;"",B153+1,0)</f>
      </c>
      <c r="C154">
        <f>IF(Registro!C154&lt;&gt;"",C153+1,0)</f>
      </c>
      <c r="D154">
        <f>IF(Registro!D154&lt;&gt;"",D153+1,0)</f>
      </c>
      <c r="E154">
        <f>IF(Registro!E154&lt;&gt;"",E153+1,0)</f>
      </c>
      <c r="F154">
        <f>IF(Registro!F154&lt;&gt;"",F153+1,0)</f>
      </c>
      <c r="G154">
        <f>IF(Registro!G154&lt;&gt;"",G153+1,0)</f>
      </c>
    </row>
    <row r="155" spans="1:7" x14ac:dyDescent="0.25">
      <c r="A155" s="14">
        <v>46176.25</v>
      </c>
      <c r="B155">
        <f>IF(Registro!B155&lt;&gt;"",B154+1,0)</f>
      </c>
      <c r="C155">
        <f>IF(Registro!C155&lt;&gt;"",C154+1,0)</f>
      </c>
      <c r="D155">
        <f>IF(Registro!D155&lt;&gt;"",D154+1,0)</f>
      </c>
      <c r="E155">
        <f>IF(Registro!E155&lt;&gt;"",E154+1,0)</f>
      </c>
      <c r="F155">
        <f>IF(Registro!F155&lt;&gt;"",F154+1,0)</f>
      </c>
      <c r="G155">
        <f>IF(Registro!G155&lt;&gt;"",G154+1,0)</f>
      </c>
    </row>
    <row r="156" spans="1:7" x14ac:dyDescent="0.25">
      <c r="A156" s="14">
        <v>46177.25</v>
      </c>
      <c r="B156">
        <f>IF(Registro!B156&lt;&gt;"",B155+1,0)</f>
      </c>
      <c r="C156">
        <f>IF(Registro!C156&lt;&gt;"",C155+1,0)</f>
      </c>
      <c r="D156">
        <f>IF(Registro!D156&lt;&gt;"",D155+1,0)</f>
      </c>
      <c r="E156">
        <f>IF(Registro!E156&lt;&gt;"",E155+1,0)</f>
      </c>
      <c r="F156">
        <f>IF(Registro!F156&lt;&gt;"",F155+1,0)</f>
      </c>
      <c r="G156">
        <f>IF(Registro!G156&lt;&gt;"",G155+1,0)</f>
      </c>
    </row>
    <row r="157" spans="1:7" x14ac:dyDescent="0.25">
      <c r="A157" s="14">
        <v>46178.25</v>
      </c>
      <c r="B157">
        <f>IF(Registro!B157&lt;&gt;"",B156+1,0)</f>
      </c>
      <c r="C157">
        <f>IF(Registro!C157&lt;&gt;"",C156+1,0)</f>
      </c>
      <c r="D157">
        <f>IF(Registro!D157&lt;&gt;"",D156+1,0)</f>
      </c>
      <c r="E157">
        <f>IF(Registro!E157&lt;&gt;"",E156+1,0)</f>
      </c>
      <c r="F157">
        <f>IF(Registro!F157&lt;&gt;"",F156+1,0)</f>
      </c>
      <c r="G157">
        <f>IF(Registro!G157&lt;&gt;"",G156+1,0)</f>
      </c>
    </row>
    <row r="158" spans="1:7" x14ac:dyDescent="0.25">
      <c r="A158" s="14">
        <v>46179.25</v>
      </c>
      <c r="B158">
        <f>IF(Registro!B158&lt;&gt;"",B157+1,0)</f>
      </c>
      <c r="C158">
        <f>IF(Registro!C158&lt;&gt;"",C157+1,0)</f>
      </c>
      <c r="D158">
        <f>IF(Registro!D158&lt;&gt;"",D157+1,0)</f>
      </c>
      <c r="E158">
        <f>IF(Registro!E158&lt;&gt;"",E157+1,0)</f>
      </c>
      <c r="F158">
        <f>IF(Registro!F158&lt;&gt;"",F157+1,0)</f>
      </c>
      <c r="G158">
        <f>IF(Registro!G158&lt;&gt;"",G157+1,0)</f>
      </c>
    </row>
    <row r="159" spans="1:7" x14ac:dyDescent="0.25">
      <c r="A159" s="14">
        <v>46180.25</v>
      </c>
      <c r="B159">
        <f>IF(Registro!B159&lt;&gt;"",B158+1,0)</f>
      </c>
      <c r="C159">
        <f>IF(Registro!C159&lt;&gt;"",C158+1,0)</f>
      </c>
      <c r="D159">
        <f>IF(Registro!D159&lt;&gt;"",D158+1,0)</f>
      </c>
      <c r="E159">
        <f>IF(Registro!E159&lt;&gt;"",E158+1,0)</f>
      </c>
      <c r="F159">
        <f>IF(Registro!F159&lt;&gt;"",F158+1,0)</f>
      </c>
      <c r="G159">
        <f>IF(Registro!G159&lt;&gt;"",G158+1,0)</f>
      </c>
    </row>
    <row r="160" spans="1:7" x14ac:dyDescent="0.25">
      <c r="A160" s="14">
        <v>46181.25</v>
      </c>
      <c r="B160">
        <f>IF(Registro!B160&lt;&gt;"",B159+1,0)</f>
      </c>
      <c r="C160">
        <f>IF(Registro!C160&lt;&gt;"",C159+1,0)</f>
      </c>
      <c r="D160">
        <f>IF(Registro!D160&lt;&gt;"",D159+1,0)</f>
      </c>
      <c r="E160">
        <f>IF(Registro!E160&lt;&gt;"",E159+1,0)</f>
      </c>
      <c r="F160">
        <f>IF(Registro!F160&lt;&gt;"",F159+1,0)</f>
      </c>
      <c r="G160">
        <f>IF(Registro!G160&lt;&gt;"",G159+1,0)</f>
      </c>
    </row>
    <row r="161" spans="1:7" x14ac:dyDescent="0.25">
      <c r="A161" s="14">
        <v>46182.25</v>
      </c>
      <c r="B161">
        <f>IF(Registro!B161&lt;&gt;"",B160+1,0)</f>
      </c>
      <c r="C161">
        <f>IF(Registro!C161&lt;&gt;"",C160+1,0)</f>
      </c>
      <c r="D161">
        <f>IF(Registro!D161&lt;&gt;"",D160+1,0)</f>
      </c>
      <c r="E161">
        <f>IF(Registro!E161&lt;&gt;"",E160+1,0)</f>
      </c>
      <c r="F161">
        <f>IF(Registro!F161&lt;&gt;"",F160+1,0)</f>
      </c>
      <c r="G161">
        <f>IF(Registro!G161&lt;&gt;"",G160+1,0)</f>
      </c>
    </row>
    <row r="162" spans="1:7" x14ac:dyDescent="0.25">
      <c r="A162" s="14">
        <v>46183.25</v>
      </c>
      <c r="B162">
        <f>IF(Registro!B162&lt;&gt;"",B161+1,0)</f>
      </c>
      <c r="C162">
        <f>IF(Registro!C162&lt;&gt;"",C161+1,0)</f>
      </c>
      <c r="D162">
        <f>IF(Registro!D162&lt;&gt;"",D161+1,0)</f>
      </c>
      <c r="E162">
        <f>IF(Registro!E162&lt;&gt;"",E161+1,0)</f>
      </c>
      <c r="F162">
        <f>IF(Registro!F162&lt;&gt;"",F161+1,0)</f>
      </c>
      <c r="G162">
        <f>IF(Registro!G162&lt;&gt;"",G161+1,0)</f>
      </c>
    </row>
    <row r="163" spans="1:7" x14ac:dyDescent="0.25">
      <c r="A163" s="14">
        <v>46184.25</v>
      </c>
      <c r="B163">
        <f>IF(Registro!B163&lt;&gt;"",B162+1,0)</f>
      </c>
      <c r="C163">
        <f>IF(Registro!C163&lt;&gt;"",C162+1,0)</f>
      </c>
      <c r="D163">
        <f>IF(Registro!D163&lt;&gt;"",D162+1,0)</f>
      </c>
      <c r="E163">
        <f>IF(Registro!E163&lt;&gt;"",E162+1,0)</f>
      </c>
      <c r="F163">
        <f>IF(Registro!F163&lt;&gt;"",F162+1,0)</f>
      </c>
      <c r="G163">
        <f>IF(Registro!G163&lt;&gt;"",G162+1,0)</f>
      </c>
    </row>
    <row r="164" spans="1:7" x14ac:dyDescent="0.25">
      <c r="A164" s="14">
        <v>46185.25</v>
      </c>
      <c r="B164">
        <f>IF(Registro!B164&lt;&gt;"",B163+1,0)</f>
      </c>
      <c r="C164">
        <f>IF(Registro!C164&lt;&gt;"",C163+1,0)</f>
      </c>
      <c r="D164">
        <f>IF(Registro!D164&lt;&gt;"",D163+1,0)</f>
      </c>
      <c r="E164">
        <f>IF(Registro!E164&lt;&gt;"",E163+1,0)</f>
      </c>
      <c r="F164">
        <f>IF(Registro!F164&lt;&gt;"",F163+1,0)</f>
      </c>
      <c r="G164">
        <f>IF(Registro!G164&lt;&gt;"",G163+1,0)</f>
      </c>
    </row>
    <row r="165" spans="1:7" x14ac:dyDescent="0.25">
      <c r="A165" s="14">
        <v>46186.25</v>
      </c>
      <c r="B165">
        <f>IF(Registro!B165&lt;&gt;"",B164+1,0)</f>
      </c>
      <c r="C165">
        <f>IF(Registro!C165&lt;&gt;"",C164+1,0)</f>
      </c>
      <c r="D165">
        <f>IF(Registro!D165&lt;&gt;"",D164+1,0)</f>
      </c>
      <c r="E165">
        <f>IF(Registro!E165&lt;&gt;"",E164+1,0)</f>
      </c>
      <c r="F165">
        <f>IF(Registro!F165&lt;&gt;"",F164+1,0)</f>
      </c>
      <c r="G165">
        <f>IF(Registro!G165&lt;&gt;"",G164+1,0)</f>
      </c>
    </row>
    <row r="166" spans="1:7" x14ac:dyDescent="0.25">
      <c r="A166" s="14">
        <v>46187.25</v>
      </c>
      <c r="B166">
        <f>IF(Registro!B166&lt;&gt;"",B165+1,0)</f>
      </c>
      <c r="C166">
        <f>IF(Registro!C166&lt;&gt;"",C165+1,0)</f>
      </c>
      <c r="D166">
        <f>IF(Registro!D166&lt;&gt;"",D165+1,0)</f>
      </c>
      <c r="E166">
        <f>IF(Registro!E166&lt;&gt;"",E165+1,0)</f>
      </c>
      <c r="F166">
        <f>IF(Registro!F166&lt;&gt;"",F165+1,0)</f>
      </c>
      <c r="G166">
        <f>IF(Registro!G166&lt;&gt;"",G165+1,0)</f>
      </c>
    </row>
    <row r="167" spans="1:7" x14ac:dyDescent="0.25">
      <c r="A167" s="14">
        <v>46188.25</v>
      </c>
      <c r="B167">
        <f>IF(Registro!B167&lt;&gt;"",B166+1,0)</f>
      </c>
      <c r="C167">
        <f>IF(Registro!C167&lt;&gt;"",C166+1,0)</f>
      </c>
      <c r="D167">
        <f>IF(Registro!D167&lt;&gt;"",D166+1,0)</f>
      </c>
      <c r="E167">
        <f>IF(Registro!E167&lt;&gt;"",E166+1,0)</f>
      </c>
      <c r="F167">
        <f>IF(Registro!F167&lt;&gt;"",F166+1,0)</f>
      </c>
      <c r="G167">
        <f>IF(Registro!G167&lt;&gt;"",G166+1,0)</f>
      </c>
    </row>
    <row r="168" spans="1:7" x14ac:dyDescent="0.25">
      <c r="A168" s="14">
        <v>46189.25</v>
      </c>
      <c r="B168">
        <f>IF(Registro!B168&lt;&gt;"",B167+1,0)</f>
      </c>
      <c r="C168">
        <f>IF(Registro!C168&lt;&gt;"",C167+1,0)</f>
      </c>
      <c r="D168">
        <f>IF(Registro!D168&lt;&gt;"",D167+1,0)</f>
      </c>
      <c r="E168">
        <f>IF(Registro!E168&lt;&gt;"",E167+1,0)</f>
      </c>
      <c r="F168">
        <f>IF(Registro!F168&lt;&gt;"",F167+1,0)</f>
      </c>
      <c r="G168">
        <f>IF(Registro!G168&lt;&gt;"",G167+1,0)</f>
      </c>
    </row>
    <row r="169" spans="1:7" x14ac:dyDescent="0.25">
      <c r="A169" s="14">
        <v>46190.25</v>
      </c>
      <c r="B169">
        <f>IF(Registro!B169&lt;&gt;"",B168+1,0)</f>
      </c>
      <c r="C169">
        <f>IF(Registro!C169&lt;&gt;"",C168+1,0)</f>
      </c>
      <c r="D169">
        <f>IF(Registro!D169&lt;&gt;"",D168+1,0)</f>
      </c>
      <c r="E169">
        <f>IF(Registro!E169&lt;&gt;"",E168+1,0)</f>
      </c>
      <c r="F169">
        <f>IF(Registro!F169&lt;&gt;"",F168+1,0)</f>
      </c>
      <c r="G169">
        <f>IF(Registro!G169&lt;&gt;"",G168+1,0)</f>
      </c>
    </row>
    <row r="170" spans="1:7" x14ac:dyDescent="0.25">
      <c r="A170" s="14">
        <v>46191.25</v>
      </c>
      <c r="B170">
        <f>IF(Registro!B170&lt;&gt;"",B169+1,0)</f>
      </c>
      <c r="C170">
        <f>IF(Registro!C170&lt;&gt;"",C169+1,0)</f>
      </c>
      <c r="D170">
        <f>IF(Registro!D170&lt;&gt;"",D169+1,0)</f>
      </c>
      <c r="E170">
        <f>IF(Registro!E170&lt;&gt;"",E169+1,0)</f>
      </c>
      <c r="F170">
        <f>IF(Registro!F170&lt;&gt;"",F169+1,0)</f>
      </c>
      <c r="G170">
        <f>IF(Registro!G170&lt;&gt;"",G169+1,0)</f>
      </c>
    </row>
    <row r="171" spans="1:7" x14ac:dyDescent="0.25">
      <c r="A171" s="14">
        <v>46192.25</v>
      </c>
      <c r="B171">
        <f>IF(Registro!B171&lt;&gt;"",B170+1,0)</f>
      </c>
      <c r="C171">
        <f>IF(Registro!C171&lt;&gt;"",C170+1,0)</f>
      </c>
      <c r="D171">
        <f>IF(Registro!D171&lt;&gt;"",D170+1,0)</f>
      </c>
      <c r="E171">
        <f>IF(Registro!E171&lt;&gt;"",E170+1,0)</f>
      </c>
      <c r="F171">
        <f>IF(Registro!F171&lt;&gt;"",F170+1,0)</f>
      </c>
      <c r="G171">
        <f>IF(Registro!G171&lt;&gt;"",G170+1,0)</f>
      </c>
    </row>
    <row r="172" spans="1:7" x14ac:dyDescent="0.25">
      <c r="A172" s="14">
        <v>46193.25</v>
      </c>
      <c r="B172">
        <f>IF(Registro!B172&lt;&gt;"",B171+1,0)</f>
      </c>
      <c r="C172">
        <f>IF(Registro!C172&lt;&gt;"",C171+1,0)</f>
      </c>
      <c r="D172">
        <f>IF(Registro!D172&lt;&gt;"",D171+1,0)</f>
      </c>
      <c r="E172">
        <f>IF(Registro!E172&lt;&gt;"",E171+1,0)</f>
      </c>
      <c r="F172">
        <f>IF(Registro!F172&lt;&gt;"",F171+1,0)</f>
      </c>
      <c r="G172">
        <f>IF(Registro!G172&lt;&gt;"",G171+1,0)</f>
      </c>
    </row>
    <row r="173" spans="1:7" x14ac:dyDescent="0.25">
      <c r="A173" s="14">
        <v>46194.25</v>
      </c>
      <c r="B173">
        <f>IF(Registro!B173&lt;&gt;"",B172+1,0)</f>
      </c>
      <c r="C173">
        <f>IF(Registro!C173&lt;&gt;"",C172+1,0)</f>
      </c>
      <c r="D173">
        <f>IF(Registro!D173&lt;&gt;"",D172+1,0)</f>
      </c>
      <c r="E173">
        <f>IF(Registro!E173&lt;&gt;"",E172+1,0)</f>
      </c>
      <c r="F173">
        <f>IF(Registro!F173&lt;&gt;"",F172+1,0)</f>
      </c>
      <c r="G173">
        <f>IF(Registro!G173&lt;&gt;"",G172+1,0)</f>
      </c>
    </row>
    <row r="174" spans="1:7" x14ac:dyDescent="0.25">
      <c r="A174" s="14">
        <v>46195.25</v>
      </c>
      <c r="B174">
        <f>IF(Registro!B174&lt;&gt;"",B173+1,0)</f>
      </c>
      <c r="C174">
        <f>IF(Registro!C174&lt;&gt;"",C173+1,0)</f>
      </c>
      <c r="D174">
        <f>IF(Registro!D174&lt;&gt;"",D173+1,0)</f>
      </c>
      <c r="E174">
        <f>IF(Registro!E174&lt;&gt;"",E173+1,0)</f>
      </c>
      <c r="F174">
        <f>IF(Registro!F174&lt;&gt;"",F173+1,0)</f>
      </c>
      <c r="G174">
        <f>IF(Registro!G174&lt;&gt;"",G173+1,0)</f>
      </c>
    </row>
    <row r="175" spans="1:7" x14ac:dyDescent="0.25">
      <c r="A175" s="14">
        <v>46196.25</v>
      </c>
      <c r="B175">
        <f>IF(Registro!B175&lt;&gt;"",B174+1,0)</f>
      </c>
      <c r="C175">
        <f>IF(Registro!C175&lt;&gt;"",C174+1,0)</f>
      </c>
      <c r="D175">
        <f>IF(Registro!D175&lt;&gt;"",D174+1,0)</f>
      </c>
      <c r="E175">
        <f>IF(Registro!E175&lt;&gt;"",E174+1,0)</f>
      </c>
      <c r="F175">
        <f>IF(Registro!F175&lt;&gt;"",F174+1,0)</f>
      </c>
      <c r="G175">
        <f>IF(Registro!G175&lt;&gt;"",G174+1,0)</f>
      </c>
    </row>
    <row r="176" spans="1:7" x14ac:dyDescent="0.25">
      <c r="A176" s="14">
        <v>46197.25</v>
      </c>
      <c r="B176">
        <f>IF(Registro!B176&lt;&gt;"",B175+1,0)</f>
      </c>
      <c r="C176">
        <f>IF(Registro!C176&lt;&gt;"",C175+1,0)</f>
      </c>
      <c r="D176">
        <f>IF(Registro!D176&lt;&gt;"",D175+1,0)</f>
      </c>
      <c r="E176">
        <f>IF(Registro!E176&lt;&gt;"",E175+1,0)</f>
      </c>
      <c r="F176">
        <f>IF(Registro!F176&lt;&gt;"",F175+1,0)</f>
      </c>
      <c r="G176">
        <f>IF(Registro!G176&lt;&gt;"",G175+1,0)</f>
      </c>
    </row>
    <row r="177" spans="1:7" x14ac:dyDescent="0.25">
      <c r="A177" s="14">
        <v>46198.25</v>
      </c>
      <c r="B177">
        <f>IF(Registro!B177&lt;&gt;"",B176+1,0)</f>
      </c>
      <c r="C177">
        <f>IF(Registro!C177&lt;&gt;"",C176+1,0)</f>
      </c>
      <c r="D177">
        <f>IF(Registro!D177&lt;&gt;"",D176+1,0)</f>
      </c>
      <c r="E177">
        <f>IF(Registro!E177&lt;&gt;"",E176+1,0)</f>
      </c>
      <c r="F177">
        <f>IF(Registro!F177&lt;&gt;"",F176+1,0)</f>
      </c>
      <c r="G177">
        <f>IF(Registro!G177&lt;&gt;"",G176+1,0)</f>
      </c>
    </row>
    <row r="178" spans="1:7" x14ac:dyDescent="0.25">
      <c r="A178" s="14">
        <v>46199.25</v>
      </c>
      <c r="B178">
        <f>IF(Registro!B178&lt;&gt;"",B177+1,0)</f>
      </c>
      <c r="C178">
        <f>IF(Registro!C178&lt;&gt;"",C177+1,0)</f>
      </c>
      <c r="D178">
        <f>IF(Registro!D178&lt;&gt;"",D177+1,0)</f>
      </c>
      <c r="E178">
        <f>IF(Registro!E178&lt;&gt;"",E177+1,0)</f>
      </c>
      <c r="F178">
        <f>IF(Registro!F178&lt;&gt;"",F177+1,0)</f>
      </c>
      <c r="G178">
        <f>IF(Registro!G178&lt;&gt;"",G177+1,0)</f>
      </c>
    </row>
    <row r="179" spans="1:7" x14ac:dyDescent="0.25">
      <c r="A179" s="14">
        <v>46200.25</v>
      </c>
      <c r="B179">
        <f>IF(Registro!B179&lt;&gt;"",B178+1,0)</f>
      </c>
      <c r="C179">
        <f>IF(Registro!C179&lt;&gt;"",C178+1,0)</f>
      </c>
      <c r="D179">
        <f>IF(Registro!D179&lt;&gt;"",D178+1,0)</f>
      </c>
      <c r="E179">
        <f>IF(Registro!E179&lt;&gt;"",E178+1,0)</f>
      </c>
      <c r="F179">
        <f>IF(Registro!F179&lt;&gt;"",F178+1,0)</f>
      </c>
      <c r="G179">
        <f>IF(Registro!G179&lt;&gt;"",G178+1,0)</f>
      </c>
    </row>
    <row r="180" spans="1:7" x14ac:dyDescent="0.25">
      <c r="A180" s="14">
        <v>46201.25</v>
      </c>
      <c r="B180">
        <f>IF(Registro!B180&lt;&gt;"",B179+1,0)</f>
      </c>
      <c r="C180">
        <f>IF(Registro!C180&lt;&gt;"",C179+1,0)</f>
      </c>
      <c r="D180">
        <f>IF(Registro!D180&lt;&gt;"",D179+1,0)</f>
      </c>
      <c r="E180">
        <f>IF(Registro!E180&lt;&gt;"",E179+1,0)</f>
      </c>
      <c r="F180">
        <f>IF(Registro!F180&lt;&gt;"",F179+1,0)</f>
      </c>
      <c r="G180">
        <f>IF(Registro!G180&lt;&gt;"",G179+1,0)</f>
      </c>
    </row>
    <row r="181" spans="1:7" x14ac:dyDescent="0.25">
      <c r="A181" s="14">
        <v>46202.25</v>
      </c>
      <c r="B181">
        <f>IF(Registro!B181&lt;&gt;"",B180+1,0)</f>
      </c>
      <c r="C181">
        <f>IF(Registro!C181&lt;&gt;"",C180+1,0)</f>
      </c>
      <c r="D181">
        <f>IF(Registro!D181&lt;&gt;"",D180+1,0)</f>
      </c>
      <c r="E181">
        <f>IF(Registro!E181&lt;&gt;"",E180+1,0)</f>
      </c>
      <c r="F181">
        <f>IF(Registro!F181&lt;&gt;"",F180+1,0)</f>
      </c>
      <c r="G181">
        <f>IF(Registro!G181&lt;&gt;"",G180+1,0)</f>
      </c>
    </row>
    <row r="182" spans="1:7" x14ac:dyDescent="0.25">
      <c r="A182" s="14">
        <v>46203.25</v>
      </c>
      <c r="B182">
        <f>IF(Registro!B182&lt;&gt;"",B181+1,0)</f>
      </c>
      <c r="C182">
        <f>IF(Registro!C182&lt;&gt;"",C181+1,0)</f>
      </c>
      <c r="D182">
        <f>IF(Registro!D182&lt;&gt;"",D181+1,0)</f>
      </c>
      <c r="E182">
        <f>IF(Registro!E182&lt;&gt;"",E181+1,0)</f>
      </c>
      <c r="F182">
        <f>IF(Registro!F182&lt;&gt;"",F181+1,0)</f>
      </c>
      <c r="G182">
        <f>IF(Registro!G182&lt;&gt;"",G181+1,0)</f>
      </c>
    </row>
    <row r="183" spans="1:7" x14ac:dyDescent="0.25">
      <c r="A183" s="14">
        <v>46204.25</v>
      </c>
      <c r="B183">
        <f>IF(Registro!B183&lt;&gt;"",B182+1,0)</f>
      </c>
      <c r="C183">
        <f>IF(Registro!C183&lt;&gt;"",C182+1,0)</f>
      </c>
      <c r="D183">
        <f>IF(Registro!D183&lt;&gt;"",D182+1,0)</f>
      </c>
      <c r="E183">
        <f>IF(Registro!E183&lt;&gt;"",E182+1,0)</f>
      </c>
      <c r="F183">
        <f>IF(Registro!F183&lt;&gt;"",F182+1,0)</f>
      </c>
      <c r="G183">
        <f>IF(Registro!G183&lt;&gt;"",G182+1,0)</f>
      </c>
    </row>
    <row r="184" spans="1:7" x14ac:dyDescent="0.25">
      <c r="A184" s="14">
        <v>46205.25</v>
      </c>
      <c r="B184">
        <f>IF(Registro!B184&lt;&gt;"",B183+1,0)</f>
      </c>
      <c r="C184">
        <f>IF(Registro!C184&lt;&gt;"",C183+1,0)</f>
      </c>
      <c r="D184">
        <f>IF(Registro!D184&lt;&gt;"",D183+1,0)</f>
      </c>
      <c r="E184">
        <f>IF(Registro!E184&lt;&gt;"",E183+1,0)</f>
      </c>
      <c r="F184">
        <f>IF(Registro!F184&lt;&gt;"",F183+1,0)</f>
      </c>
      <c r="G184">
        <f>IF(Registro!G184&lt;&gt;"",G183+1,0)</f>
      </c>
    </row>
    <row r="185" spans="1:7" x14ac:dyDescent="0.25">
      <c r="A185" s="14">
        <v>46206.25</v>
      </c>
      <c r="B185">
        <f>IF(Registro!B185&lt;&gt;"",B184+1,0)</f>
      </c>
      <c r="C185">
        <f>IF(Registro!C185&lt;&gt;"",C184+1,0)</f>
      </c>
      <c r="D185">
        <f>IF(Registro!D185&lt;&gt;"",D184+1,0)</f>
      </c>
      <c r="E185">
        <f>IF(Registro!E185&lt;&gt;"",E184+1,0)</f>
      </c>
      <c r="F185">
        <f>IF(Registro!F185&lt;&gt;"",F184+1,0)</f>
      </c>
      <c r="G185">
        <f>IF(Registro!G185&lt;&gt;"",G184+1,0)</f>
      </c>
    </row>
    <row r="186" spans="1:7" x14ac:dyDescent="0.25">
      <c r="A186" s="14">
        <v>46207.25</v>
      </c>
      <c r="B186">
        <f>IF(Registro!B186&lt;&gt;"",B185+1,0)</f>
      </c>
      <c r="C186">
        <f>IF(Registro!C186&lt;&gt;"",C185+1,0)</f>
      </c>
      <c r="D186">
        <f>IF(Registro!D186&lt;&gt;"",D185+1,0)</f>
      </c>
      <c r="E186">
        <f>IF(Registro!E186&lt;&gt;"",E185+1,0)</f>
      </c>
      <c r="F186">
        <f>IF(Registro!F186&lt;&gt;"",F185+1,0)</f>
      </c>
      <c r="G186">
        <f>IF(Registro!G186&lt;&gt;"",G185+1,0)</f>
      </c>
    </row>
    <row r="187" spans="1:7" x14ac:dyDescent="0.25">
      <c r="A187" s="14">
        <v>46208.25</v>
      </c>
      <c r="B187">
        <f>IF(Registro!B187&lt;&gt;"",B186+1,0)</f>
      </c>
      <c r="C187">
        <f>IF(Registro!C187&lt;&gt;"",C186+1,0)</f>
      </c>
      <c r="D187">
        <f>IF(Registro!D187&lt;&gt;"",D186+1,0)</f>
      </c>
      <c r="E187">
        <f>IF(Registro!E187&lt;&gt;"",E186+1,0)</f>
      </c>
      <c r="F187">
        <f>IF(Registro!F187&lt;&gt;"",F186+1,0)</f>
      </c>
      <c r="G187">
        <f>IF(Registro!G187&lt;&gt;"",G186+1,0)</f>
      </c>
    </row>
    <row r="188" spans="1:7" x14ac:dyDescent="0.25">
      <c r="A188" s="14">
        <v>46209.25</v>
      </c>
      <c r="B188">
        <f>IF(Registro!B188&lt;&gt;"",B187+1,0)</f>
      </c>
      <c r="C188">
        <f>IF(Registro!C188&lt;&gt;"",C187+1,0)</f>
      </c>
      <c r="D188">
        <f>IF(Registro!D188&lt;&gt;"",D187+1,0)</f>
      </c>
      <c r="E188">
        <f>IF(Registro!E188&lt;&gt;"",E187+1,0)</f>
      </c>
      <c r="F188">
        <f>IF(Registro!F188&lt;&gt;"",F187+1,0)</f>
      </c>
      <c r="G188">
        <f>IF(Registro!G188&lt;&gt;"",G187+1,0)</f>
      </c>
    </row>
    <row r="189" spans="1:7" x14ac:dyDescent="0.25">
      <c r="A189" s="14">
        <v>46210.25</v>
      </c>
      <c r="B189">
        <f>IF(Registro!B189&lt;&gt;"",B188+1,0)</f>
      </c>
      <c r="C189">
        <f>IF(Registro!C189&lt;&gt;"",C188+1,0)</f>
      </c>
      <c r="D189">
        <f>IF(Registro!D189&lt;&gt;"",D188+1,0)</f>
      </c>
      <c r="E189">
        <f>IF(Registro!E189&lt;&gt;"",E188+1,0)</f>
      </c>
      <c r="F189">
        <f>IF(Registro!F189&lt;&gt;"",F188+1,0)</f>
      </c>
      <c r="G189">
        <f>IF(Registro!G189&lt;&gt;"",G188+1,0)</f>
      </c>
    </row>
    <row r="190" spans="1:7" x14ac:dyDescent="0.25">
      <c r="A190" s="14">
        <v>46211.25</v>
      </c>
      <c r="B190">
        <f>IF(Registro!B190&lt;&gt;"",B189+1,0)</f>
      </c>
      <c r="C190">
        <f>IF(Registro!C190&lt;&gt;"",C189+1,0)</f>
      </c>
      <c r="D190">
        <f>IF(Registro!D190&lt;&gt;"",D189+1,0)</f>
      </c>
      <c r="E190">
        <f>IF(Registro!E190&lt;&gt;"",E189+1,0)</f>
      </c>
      <c r="F190">
        <f>IF(Registro!F190&lt;&gt;"",F189+1,0)</f>
      </c>
      <c r="G190">
        <f>IF(Registro!G190&lt;&gt;"",G189+1,0)</f>
      </c>
    </row>
    <row r="191" spans="1:7" x14ac:dyDescent="0.25">
      <c r="A191" s="14">
        <v>46212.25</v>
      </c>
      <c r="B191">
        <f>IF(Registro!B191&lt;&gt;"",B190+1,0)</f>
      </c>
      <c r="C191">
        <f>IF(Registro!C191&lt;&gt;"",C190+1,0)</f>
      </c>
      <c r="D191">
        <f>IF(Registro!D191&lt;&gt;"",D190+1,0)</f>
      </c>
      <c r="E191">
        <f>IF(Registro!E191&lt;&gt;"",E190+1,0)</f>
      </c>
      <c r="F191">
        <f>IF(Registro!F191&lt;&gt;"",F190+1,0)</f>
      </c>
      <c r="G191">
        <f>IF(Registro!G191&lt;&gt;"",G190+1,0)</f>
      </c>
    </row>
    <row r="192" spans="1:7" x14ac:dyDescent="0.25">
      <c r="A192" s="14">
        <v>46213.25</v>
      </c>
      <c r="B192">
        <f>IF(Registro!B192&lt;&gt;"",B191+1,0)</f>
      </c>
      <c r="C192">
        <f>IF(Registro!C192&lt;&gt;"",C191+1,0)</f>
      </c>
      <c r="D192">
        <f>IF(Registro!D192&lt;&gt;"",D191+1,0)</f>
      </c>
      <c r="E192">
        <f>IF(Registro!E192&lt;&gt;"",E191+1,0)</f>
      </c>
      <c r="F192">
        <f>IF(Registro!F192&lt;&gt;"",F191+1,0)</f>
      </c>
      <c r="G192">
        <f>IF(Registro!G192&lt;&gt;"",G191+1,0)</f>
      </c>
    </row>
    <row r="193" spans="1:7" x14ac:dyDescent="0.25">
      <c r="A193" s="14">
        <v>46214.25</v>
      </c>
      <c r="B193">
        <f>IF(Registro!B193&lt;&gt;"",B192+1,0)</f>
      </c>
      <c r="C193">
        <f>IF(Registro!C193&lt;&gt;"",C192+1,0)</f>
      </c>
      <c r="D193">
        <f>IF(Registro!D193&lt;&gt;"",D192+1,0)</f>
      </c>
      <c r="E193">
        <f>IF(Registro!E193&lt;&gt;"",E192+1,0)</f>
      </c>
      <c r="F193">
        <f>IF(Registro!F193&lt;&gt;"",F192+1,0)</f>
      </c>
      <c r="G193">
        <f>IF(Registro!G193&lt;&gt;"",G192+1,0)</f>
      </c>
    </row>
    <row r="194" spans="1:7" x14ac:dyDescent="0.25">
      <c r="A194" s="14">
        <v>46215.25</v>
      </c>
      <c r="B194">
        <f>IF(Registro!B194&lt;&gt;"",B193+1,0)</f>
      </c>
      <c r="C194">
        <f>IF(Registro!C194&lt;&gt;"",C193+1,0)</f>
      </c>
      <c r="D194">
        <f>IF(Registro!D194&lt;&gt;"",D193+1,0)</f>
      </c>
      <c r="E194">
        <f>IF(Registro!E194&lt;&gt;"",E193+1,0)</f>
      </c>
      <c r="F194">
        <f>IF(Registro!F194&lt;&gt;"",F193+1,0)</f>
      </c>
      <c r="G194">
        <f>IF(Registro!G194&lt;&gt;"",G193+1,0)</f>
      </c>
    </row>
    <row r="195" spans="1:7" x14ac:dyDescent="0.25">
      <c r="A195" s="14">
        <v>46216.25</v>
      </c>
      <c r="B195">
        <f>IF(Registro!B195&lt;&gt;"",B194+1,0)</f>
      </c>
      <c r="C195">
        <f>IF(Registro!C195&lt;&gt;"",C194+1,0)</f>
      </c>
      <c r="D195">
        <f>IF(Registro!D195&lt;&gt;"",D194+1,0)</f>
      </c>
      <c r="E195">
        <f>IF(Registro!E195&lt;&gt;"",E194+1,0)</f>
      </c>
      <c r="F195">
        <f>IF(Registro!F195&lt;&gt;"",F194+1,0)</f>
      </c>
      <c r="G195">
        <f>IF(Registro!G195&lt;&gt;"",G194+1,0)</f>
      </c>
    </row>
    <row r="196" spans="1:7" x14ac:dyDescent="0.25">
      <c r="A196" s="14">
        <v>46217.25</v>
      </c>
      <c r="B196">
        <f>IF(Registro!B196&lt;&gt;"",B195+1,0)</f>
      </c>
      <c r="C196">
        <f>IF(Registro!C196&lt;&gt;"",C195+1,0)</f>
      </c>
      <c r="D196">
        <f>IF(Registro!D196&lt;&gt;"",D195+1,0)</f>
      </c>
      <c r="E196">
        <f>IF(Registro!E196&lt;&gt;"",E195+1,0)</f>
      </c>
      <c r="F196">
        <f>IF(Registro!F196&lt;&gt;"",F195+1,0)</f>
      </c>
      <c r="G196">
        <f>IF(Registro!G196&lt;&gt;"",G195+1,0)</f>
      </c>
    </row>
    <row r="197" spans="1:7" x14ac:dyDescent="0.25">
      <c r="A197" s="14">
        <v>46218.25</v>
      </c>
      <c r="B197">
        <f>IF(Registro!B197&lt;&gt;"",B196+1,0)</f>
      </c>
      <c r="C197">
        <f>IF(Registro!C197&lt;&gt;"",C196+1,0)</f>
      </c>
      <c r="D197">
        <f>IF(Registro!D197&lt;&gt;"",D196+1,0)</f>
      </c>
      <c r="E197">
        <f>IF(Registro!E197&lt;&gt;"",E196+1,0)</f>
      </c>
      <c r="F197">
        <f>IF(Registro!F197&lt;&gt;"",F196+1,0)</f>
      </c>
      <c r="G197">
        <f>IF(Registro!G197&lt;&gt;"",G196+1,0)</f>
      </c>
    </row>
    <row r="198" spans="1:7" x14ac:dyDescent="0.25">
      <c r="A198" s="14">
        <v>46219.25</v>
      </c>
      <c r="B198">
        <f>IF(Registro!B198&lt;&gt;"",B197+1,0)</f>
      </c>
      <c r="C198">
        <f>IF(Registro!C198&lt;&gt;"",C197+1,0)</f>
      </c>
      <c r="D198">
        <f>IF(Registro!D198&lt;&gt;"",D197+1,0)</f>
      </c>
      <c r="E198">
        <f>IF(Registro!E198&lt;&gt;"",E197+1,0)</f>
      </c>
      <c r="F198">
        <f>IF(Registro!F198&lt;&gt;"",F197+1,0)</f>
      </c>
      <c r="G198">
        <f>IF(Registro!G198&lt;&gt;"",G197+1,0)</f>
      </c>
    </row>
    <row r="199" spans="1:7" x14ac:dyDescent="0.25">
      <c r="A199" s="14">
        <v>46220.25</v>
      </c>
      <c r="B199">
        <f>IF(Registro!B199&lt;&gt;"",B198+1,0)</f>
      </c>
      <c r="C199">
        <f>IF(Registro!C199&lt;&gt;"",C198+1,0)</f>
      </c>
      <c r="D199">
        <f>IF(Registro!D199&lt;&gt;"",D198+1,0)</f>
      </c>
      <c r="E199">
        <f>IF(Registro!E199&lt;&gt;"",E198+1,0)</f>
      </c>
      <c r="F199">
        <f>IF(Registro!F199&lt;&gt;"",F198+1,0)</f>
      </c>
      <c r="G199">
        <f>IF(Registro!G199&lt;&gt;"",G198+1,0)</f>
      </c>
    </row>
    <row r="200" spans="1:7" x14ac:dyDescent="0.25">
      <c r="A200" s="14">
        <v>46221.25</v>
      </c>
      <c r="B200">
        <f>IF(Registro!B200&lt;&gt;"",B199+1,0)</f>
      </c>
      <c r="C200">
        <f>IF(Registro!C200&lt;&gt;"",C199+1,0)</f>
      </c>
      <c r="D200">
        <f>IF(Registro!D200&lt;&gt;"",D199+1,0)</f>
      </c>
      <c r="E200">
        <f>IF(Registro!E200&lt;&gt;"",E199+1,0)</f>
      </c>
      <c r="F200">
        <f>IF(Registro!F200&lt;&gt;"",F199+1,0)</f>
      </c>
      <c r="G200">
        <f>IF(Registro!G200&lt;&gt;"",G199+1,0)</f>
      </c>
    </row>
    <row r="201" spans="1:7" x14ac:dyDescent="0.25">
      <c r="A201" s="14">
        <v>46222.25</v>
      </c>
      <c r="B201">
        <f>IF(Registro!B201&lt;&gt;"",B200+1,0)</f>
      </c>
      <c r="C201">
        <f>IF(Registro!C201&lt;&gt;"",C200+1,0)</f>
      </c>
      <c r="D201">
        <f>IF(Registro!D201&lt;&gt;"",D200+1,0)</f>
      </c>
      <c r="E201">
        <f>IF(Registro!E201&lt;&gt;"",E200+1,0)</f>
      </c>
      <c r="F201">
        <f>IF(Registro!F201&lt;&gt;"",F200+1,0)</f>
      </c>
      <c r="G201">
        <f>IF(Registro!G201&lt;&gt;"",G200+1,0)</f>
      </c>
    </row>
    <row r="202" spans="1:7" x14ac:dyDescent="0.25">
      <c r="A202" s="14">
        <v>46223.25</v>
      </c>
      <c r="B202">
        <f>IF(Registro!B202&lt;&gt;"",B201+1,0)</f>
      </c>
      <c r="C202">
        <f>IF(Registro!C202&lt;&gt;"",C201+1,0)</f>
      </c>
      <c r="D202">
        <f>IF(Registro!D202&lt;&gt;"",D201+1,0)</f>
      </c>
      <c r="E202">
        <f>IF(Registro!E202&lt;&gt;"",E201+1,0)</f>
      </c>
      <c r="F202">
        <f>IF(Registro!F202&lt;&gt;"",F201+1,0)</f>
      </c>
      <c r="G202">
        <f>IF(Registro!G202&lt;&gt;"",G201+1,0)</f>
      </c>
    </row>
    <row r="203" spans="1:7" x14ac:dyDescent="0.25">
      <c r="A203" s="14">
        <v>46224.25</v>
      </c>
      <c r="B203">
        <f>IF(Registro!B203&lt;&gt;"",B202+1,0)</f>
      </c>
      <c r="C203">
        <f>IF(Registro!C203&lt;&gt;"",C202+1,0)</f>
      </c>
      <c r="D203">
        <f>IF(Registro!D203&lt;&gt;"",D202+1,0)</f>
      </c>
      <c r="E203">
        <f>IF(Registro!E203&lt;&gt;"",E202+1,0)</f>
      </c>
      <c r="F203">
        <f>IF(Registro!F203&lt;&gt;"",F202+1,0)</f>
      </c>
      <c r="G203">
        <f>IF(Registro!G203&lt;&gt;"",G202+1,0)</f>
      </c>
    </row>
    <row r="204" spans="1:7" x14ac:dyDescent="0.25">
      <c r="A204" s="14">
        <v>46225.25</v>
      </c>
      <c r="B204">
        <f>IF(Registro!B204&lt;&gt;"",B203+1,0)</f>
      </c>
      <c r="C204">
        <f>IF(Registro!C204&lt;&gt;"",C203+1,0)</f>
      </c>
      <c r="D204">
        <f>IF(Registro!D204&lt;&gt;"",D203+1,0)</f>
      </c>
      <c r="E204">
        <f>IF(Registro!E204&lt;&gt;"",E203+1,0)</f>
      </c>
      <c r="F204">
        <f>IF(Registro!F204&lt;&gt;"",F203+1,0)</f>
      </c>
      <c r="G204">
        <f>IF(Registro!G204&lt;&gt;"",G203+1,0)</f>
      </c>
    </row>
    <row r="205" spans="1:7" x14ac:dyDescent="0.25">
      <c r="A205" s="14">
        <v>46226.25</v>
      </c>
      <c r="B205">
        <f>IF(Registro!B205&lt;&gt;"",B204+1,0)</f>
      </c>
      <c r="C205">
        <f>IF(Registro!C205&lt;&gt;"",C204+1,0)</f>
      </c>
      <c r="D205">
        <f>IF(Registro!D205&lt;&gt;"",D204+1,0)</f>
      </c>
      <c r="E205">
        <f>IF(Registro!E205&lt;&gt;"",E204+1,0)</f>
      </c>
      <c r="F205">
        <f>IF(Registro!F205&lt;&gt;"",F204+1,0)</f>
      </c>
      <c r="G205">
        <f>IF(Registro!G205&lt;&gt;"",G204+1,0)</f>
      </c>
    </row>
    <row r="206" spans="1:7" x14ac:dyDescent="0.25">
      <c r="A206" s="14">
        <v>46227.25</v>
      </c>
      <c r="B206">
        <f>IF(Registro!B206&lt;&gt;"",B205+1,0)</f>
      </c>
      <c r="C206">
        <f>IF(Registro!C206&lt;&gt;"",C205+1,0)</f>
      </c>
      <c r="D206">
        <f>IF(Registro!D206&lt;&gt;"",D205+1,0)</f>
      </c>
      <c r="E206">
        <f>IF(Registro!E206&lt;&gt;"",E205+1,0)</f>
      </c>
      <c r="F206">
        <f>IF(Registro!F206&lt;&gt;"",F205+1,0)</f>
      </c>
      <c r="G206">
        <f>IF(Registro!G206&lt;&gt;"",G205+1,0)</f>
      </c>
    </row>
    <row r="207" spans="1:7" x14ac:dyDescent="0.25">
      <c r="A207" s="14">
        <v>46228.25</v>
      </c>
      <c r="B207">
        <f>IF(Registro!B207&lt;&gt;"",B206+1,0)</f>
      </c>
      <c r="C207">
        <f>IF(Registro!C207&lt;&gt;"",C206+1,0)</f>
      </c>
      <c r="D207">
        <f>IF(Registro!D207&lt;&gt;"",D206+1,0)</f>
      </c>
      <c r="E207">
        <f>IF(Registro!E207&lt;&gt;"",E206+1,0)</f>
      </c>
      <c r="F207">
        <f>IF(Registro!F207&lt;&gt;"",F206+1,0)</f>
      </c>
      <c r="G207">
        <f>IF(Registro!G207&lt;&gt;"",G206+1,0)</f>
      </c>
    </row>
    <row r="208" spans="1:7" x14ac:dyDescent="0.25">
      <c r="A208" s="14">
        <v>46229.25</v>
      </c>
      <c r="B208">
        <f>IF(Registro!B208&lt;&gt;"",B207+1,0)</f>
      </c>
      <c r="C208">
        <f>IF(Registro!C208&lt;&gt;"",C207+1,0)</f>
      </c>
      <c r="D208">
        <f>IF(Registro!D208&lt;&gt;"",D207+1,0)</f>
      </c>
      <c r="E208">
        <f>IF(Registro!E208&lt;&gt;"",E207+1,0)</f>
      </c>
      <c r="F208">
        <f>IF(Registro!F208&lt;&gt;"",F207+1,0)</f>
      </c>
      <c r="G208">
        <f>IF(Registro!G208&lt;&gt;"",G207+1,0)</f>
      </c>
    </row>
    <row r="209" spans="1:7" x14ac:dyDescent="0.25">
      <c r="A209" s="14">
        <v>46230.25</v>
      </c>
      <c r="B209">
        <f>IF(Registro!B209&lt;&gt;"",B208+1,0)</f>
      </c>
      <c r="C209">
        <f>IF(Registro!C209&lt;&gt;"",C208+1,0)</f>
      </c>
      <c r="D209">
        <f>IF(Registro!D209&lt;&gt;"",D208+1,0)</f>
      </c>
      <c r="E209">
        <f>IF(Registro!E209&lt;&gt;"",E208+1,0)</f>
      </c>
      <c r="F209">
        <f>IF(Registro!F209&lt;&gt;"",F208+1,0)</f>
      </c>
      <c r="G209">
        <f>IF(Registro!G209&lt;&gt;"",G208+1,0)</f>
      </c>
    </row>
    <row r="210" spans="1:7" x14ac:dyDescent="0.25">
      <c r="A210" s="14">
        <v>46231.25</v>
      </c>
      <c r="B210">
        <f>IF(Registro!B210&lt;&gt;"",B209+1,0)</f>
      </c>
      <c r="C210">
        <f>IF(Registro!C210&lt;&gt;"",C209+1,0)</f>
      </c>
      <c r="D210">
        <f>IF(Registro!D210&lt;&gt;"",D209+1,0)</f>
      </c>
      <c r="E210">
        <f>IF(Registro!E210&lt;&gt;"",E209+1,0)</f>
      </c>
      <c r="F210">
        <f>IF(Registro!F210&lt;&gt;"",F209+1,0)</f>
      </c>
      <c r="G210">
        <f>IF(Registro!G210&lt;&gt;"",G209+1,0)</f>
      </c>
    </row>
    <row r="211" spans="1:7" x14ac:dyDescent="0.25">
      <c r="A211" s="14">
        <v>46232.25</v>
      </c>
      <c r="B211">
        <f>IF(Registro!B211&lt;&gt;"",B210+1,0)</f>
      </c>
      <c r="C211">
        <f>IF(Registro!C211&lt;&gt;"",C210+1,0)</f>
      </c>
      <c r="D211">
        <f>IF(Registro!D211&lt;&gt;"",D210+1,0)</f>
      </c>
      <c r="E211">
        <f>IF(Registro!E211&lt;&gt;"",E210+1,0)</f>
      </c>
      <c r="F211">
        <f>IF(Registro!F211&lt;&gt;"",F210+1,0)</f>
      </c>
      <c r="G211">
        <f>IF(Registro!G211&lt;&gt;"",G210+1,0)</f>
      </c>
    </row>
    <row r="212" spans="1:7" x14ac:dyDescent="0.25">
      <c r="A212" s="14">
        <v>46233.25</v>
      </c>
      <c r="B212">
        <f>IF(Registro!B212&lt;&gt;"",B211+1,0)</f>
      </c>
      <c r="C212">
        <f>IF(Registro!C212&lt;&gt;"",C211+1,0)</f>
      </c>
      <c r="D212">
        <f>IF(Registro!D212&lt;&gt;"",D211+1,0)</f>
      </c>
      <c r="E212">
        <f>IF(Registro!E212&lt;&gt;"",E211+1,0)</f>
      </c>
      <c r="F212">
        <f>IF(Registro!F212&lt;&gt;"",F211+1,0)</f>
      </c>
      <c r="G212">
        <f>IF(Registro!G212&lt;&gt;"",G211+1,0)</f>
      </c>
    </row>
    <row r="213" spans="1:7" x14ac:dyDescent="0.25">
      <c r="A213" s="14">
        <v>46234.25</v>
      </c>
      <c r="B213">
        <f>IF(Registro!B213&lt;&gt;"",B212+1,0)</f>
      </c>
      <c r="C213">
        <f>IF(Registro!C213&lt;&gt;"",C212+1,0)</f>
      </c>
      <c r="D213">
        <f>IF(Registro!D213&lt;&gt;"",D212+1,0)</f>
      </c>
      <c r="E213">
        <f>IF(Registro!E213&lt;&gt;"",E212+1,0)</f>
      </c>
      <c r="F213">
        <f>IF(Registro!F213&lt;&gt;"",F212+1,0)</f>
      </c>
      <c r="G213">
        <f>IF(Registro!G213&lt;&gt;"",G212+1,0)</f>
      </c>
    </row>
    <row r="214" spans="1:7" x14ac:dyDescent="0.25">
      <c r="A214" s="14">
        <v>46235.25</v>
      </c>
      <c r="B214">
        <f>IF(Registro!B214&lt;&gt;"",B213+1,0)</f>
      </c>
      <c r="C214">
        <f>IF(Registro!C214&lt;&gt;"",C213+1,0)</f>
      </c>
      <c r="D214">
        <f>IF(Registro!D214&lt;&gt;"",D213+1,0)</f>
      </c>
      <c r="E214">
        <f>IF(Registro!E214&lt;&gt;"",E213+1,0)</f>
      </c>
      <c r="F214">
        <f>IF(Registro!F214&lt;&gt;"",F213+1,0)</f>
      </c>
      <c r="G214">
        <f>IF(Registro!G214&lt;&gt;"",G213+1,0)</f>
      </c>
    </row>
    <row r="215" spans="1:7" x14ac:dyDescent="0.25">
      <c r="A215" s="14">
        <v>46236.25</v>
      </c>
      <c r="B215">
        <f>IF(Registro!B215&lt;&gt;"",B214+1,0)</f>
      </c>
      <c r="C215">
        <f>IF(Registro!C215&lt;&gt;"",C214+1,0)</f>
      </c>
      <c r="D215">
        <f>IF(Registro!D215&lt;&gt;"",D214+1,0)</f>
      </c>
      <c r="E215">
        <f>IF(Registro!E215&lt;&gt;"",E214+1,0)</f>
      </c>
      <c r="F215">
        <f>IF(Registro!F215&lt;&gt;"",F214+1,0)</f>
      </c>
      <c r="G215">
        <f>IF(Registro!G215&lt;&gt;"",G214+1,0)</f>
      </c>
    </row>
    <row r="216" spans="1:7" x14ac:dyDescent="0.25">
      <c r="A216" s="14">
        <v>46237.25</v>
      </c>
      <c r="B216">
        <f>IF(Registro!B216&lt;&gt;"",B215+1,0)</f>
      </c>
      <c r="C216">
        <f>IF(Registro!C216&lt;&gt;"",C215+1,0)</f>
      </c>
      <c r="D216">
        <f>IF(Registro!D216&lt;&gt;"",D215+1,0)</f>
      </c>
      <c r="E216">
        <f>IF(Registro!E216&lt;&gt;"",E215+1,0)</f>
      </c>
      <c r="F216">
        <f>IF(Registro!F216&lt;&gt;"",F215+1,0)</f>
      </c>
      <c r="G216">
        <f>IF(Registro!G216&lt;&gt;"",G215+1,0)</f>
      </c>
    </row>
    <row r="217" spans="1:7" x14ac:dyDescent="0.25">
      <c r="A217" s="14">
        <v>46238.25</v>
      </c>
      <c r="B217">
        <f>IF(Registro!B217&lt;&gt;"",B216+1,0)</f>
      </c>
      <c r="C217">
        <f>IF(Registro!C217&lt;&gt;"",C216+1,0)</f>
      </c>
      <c r="D217">
        <f>IF(Registro!D217&lt;&gt;"",D216+1,0)</f>
      </c>
      <c r="E217">
        <f>IF(Registro!E217&lt;&gt;"",E216+1,0)</f>
      </c>
      <c r="F217">
        <f>IF(Registro!F217&lt;&gt;"",F216+1,0)</f>
      </c>
      <c r="G217">
        <f>IF(Registro!G217&lt;&gt;"",G216+1,0)</f>
      </c>
    </row>
    <row r="218" spans="1:7" x14ac:dyDescent="0.25">
      <c r="A218" s="14">
        <v>46239.25</v>
      </c>
      <c r="B218">
        <f>IF(Registro!B218&lt;&gt;"",B217+1,0)</f>
      </c>
      <c r="C218">
        <f>IF(Registro!C218&lt;&gt;"",C217+1,0)</f>
      </c>
      <c r="D218">
        <f>IF(Registro!D218&lt;&gt;"",D217+1,0)</f>
      </c>
      <c r="E218">
        <f>IF(Registro!E218&lt;&gt;"",E217+1,0)</f>
      </c>
      <c r="F218">
        <f>IF(Registro!F218&lt;&gt;"",F217+1,0)</f>
      </c>
      <c r="G218">
        <f>IF(Registro!G218&lt;&gt;"",G217+1,0)</f>
      </c>
    </row>
    <row r="219" spans="1:7" x14ac:dyDescent="0.25">
      <c r="A219" s="14">
        <v>46240.25</v>
      </c>
      <c r="B219">
        <f>IF(Registro!B219&lt;&gt;"",B218+1,0)</f>
      </c>
      <c r="C219">
        <f>IF(Registro!C219&lt;&gt;"",C218+1,0)</f>
      </c>
      <c r="D219">
        <f>IF(Registro!D219&lt;&gt;"",D218+1,0)</f>
      </c>
      <c r="E219">
        <f>IF(Registro!E219&lt;&gt;"",E218+1,0)</f>
      </c>
      <c r="F219">
        <f>IF(Registro!F219&lt;&gt;"",F218+1,0)</f>
      </c>
      <c r="G219">
        <f>IF(Registro!G219&lt;&gt;"",G218+1,0)</f>
      </c>
    </row>
    <row r="220" spans="1:7" x14ac:dyDescent="0.25">
      <c r="A220" s="14">
        <v>46241.25</v>
      </c>
      <c r="B220">
        <f>IF(Registro!B220&lt;&gt;"",B219+1,0)</f>
      </c>
      <c r="C220">
        <f>IF(Registro!C220&lt;&gt;"",C219+1,0)</f>
      </c>
      <c r="D220">
        <f>IF(Registro!D220&lt;&gt;"",D219+1,0)</f>
      </c>
      <c r="E220">
        <f>IF(Registro!E220&lt;&gt;"",E219+1,0)</f>
      </c>
      <c r="F220">
        <f>IF(Registro!F220&lt;&gt;"",F219+1,0)</f>
      </c>
      <c r="G220">
        <f>IF(Registro!G220&lt;&gt;"",G219+1,0)</f>
      </c>
    </row>
    <row r="221" spans="1:7" x14ac:dyDescent="0.25">
      <c r="A221" s="14">
        <v>46242.25</v>
      </c>
      <c r="B221">
        <f>IF(Registro!B221&lt;&gt;"",B220+1,0)</f>
      </c>
      <c r="C221">
        <f>IF(Registro!C221&lt;&gt;"",C220+1,0)</f>
      </c>
      <c r="D221">
        <f>IF(Registro!D221&lt;&gt;"",D220+1,0)</f>
      </c>
      <c r="E221">
        <f>IF(Registro!E221&lt;&gt;"",E220+1,0)</f>
      </c>
      <c r="F221">
        <f>IF(Registro!F221&lt;&gt;"",F220+1,0)</f>
      </c>
      <c r="G221">
        <f>IF(Registro!G221&lt;&gt;"",G220+1,0)</f>
      </c>
    </row>
    <row r="222" spans="1:7" x14ac:dyDescent="0.25">
      <c r="A222" s="14">
        <v>46243.25</v>
      </c>
      <c r="B222">
        <f>IF(Registro!B222&lt;&gt;"",B221+1,0)</f>
      </c>
      <c r="C222">
        <f>IF(Registro!C222&lt;&gt;"",C221+1,0)</f>
      </c>
      <c r="D222">
        <f>IF(Registro!D222&lt;&gt;"",D221+1,0)</f>
      </c>
      <c r="E222">
        <f>IF(Registro!E222&lt;&gt;"",E221+1,0)</f>
      </c>
      <c r="F222">
        <f>IF(Registro!F222&lt;&gt;"",F221+1,0)</f>
      </c>
      <c r="G222">
        <f>IF(Registro!G222&lt;&gt;"",G221+1,0)</f>
      </c>
    </row>
    <row r="223" spans="1:7" x14ac:dyDescent="0.25">
      <c r="A223" s="14">
        <v>46244.25</v>
      </c>
      <c r="B223">
        <f>IF(Registro!B223&lt;&gt;"",B222+1,0)</f>
      </c>
      <c r="C223">
        <f>IF(Registro!C223&lt;&gt;"",C222+1,0)</f>
      </c>
      <c r="D223">
        <f>IF(Registro!D223&lt;&gt;"",D222+1,0)</f>
      </c>
      <c r="E223">
        <f>IF(Registro!E223&lt;&gt;"",E222+1,0)</f>
      </c>
      <c r="F223">
        <f>IF(Registro!F223&lt;&gt;"",F222+1,0)</f>
      </c>
      <c r="G223">
        <f>IF(Registro!G223&lt;&gt;"",G222+1,0)</f>
      </c>
    </row>
    <row r="224" spans="1:7" x14ac:dyDescent="0.25">
      <c r="A224" s="14">
        <v>46245.25</v>
      </c>
      <c r="B224">
        <f>IF(Registro!B224&lt;&gt;"",B223+1,0)</f>
      </c>
      <c r="C224">
        <f>IF(Registro!C224&lt;&gt;"",C223+1,0)</f>
      </c>
      <c r="D224">
        <f>IF(Registro!D224&lt;&gt;"",D223+1,0)</f>
      </c>
      <c r="E224">
        <f>IF(Registro!E224&lt;&gt;"",E223+1,0)</f>
      </c>
      <c r="F224">
        <f>IF(Registro!F224&lt;&gt;"",F223+1,0)</f>
      </c>
      <c r="G224">
        <f>IF(Registro!G224&lt;&gt;"",G223+1,0)</f>
      </c>
    </row>
    <row r="225" spans="1:7" x14ac:dyDescent="0.25">
      <c r="A225" s="14">
        <v>46246.25</v>
      </c>
      <c r="B225">
        <f>IF(Registro!B225&lt;&gt;"",B224+1,0)</f>
      </c>
      <c r="C225">
        <f>IF(Registro!C225&lt;&gt;"",C224+1,0)</f>
      </c>
      <c r="D225">
        <f>IF(Registro!D225&lt;&gt;"",D224+1,0)</f>
      </c>
      <c r="E225">
        <f>IF(Registro!E225&lt;&gt;"",E224+1,0)</f>
      </c>
      <c r="F225">
        <f>IF(Registro!F225&lt;&gt;"",F224+1,0)</f>
      </c>
      <c r="G225">
        <f>IF(Registro!G225&lt;&gt;"",G224+1,0)</f>
      </c>
    </row>
    <row r="226" spans="1:7" x14ac:dyDescent="0.25">
      <c r="A226" s="14">
        <v>46247.25</v>
      </c>
      <c r="B226">
        <f>IF(Registro!B226&lt;&gt;"",B225+1,0)</f>
      </c>
      <c r="C226">
        <f>IF(Registro!C226&lt;&gt;"",C225+1,0)</f>
      </c>
      <c r="D226">
        <f>IF(Registro!D226&lt;&gt;"",D225+1,0)</f>
      </c>
      <c r="E226">
        <f>IF(Registro!E226&lt;&gt;"",E225+1,0)</f>
      </c>
      <c r="F226">
        <f>IF(Registro!F226&lt;&gt;"",F225+1,0)</f>
      </c>
      <c r="G226">
        <f>IF(Registro!G226&lt;&gt;"",G225+1,0)</f>
      </c>
    </row>
    <row r="227" spans="1:7" x14ac:dyDescent="0.25">
      <c r="A227" s="14">
        <v>46248.25</v>
      </c>
      <c r="B227">
        <f>IF(Registro!B227&lt;&gt;"",B226+1,0)</f>
      </c>
      <c r="C227">
        <f>IF(Registro!C227&lt;&gt;"",C226+1,0)</f>
      </c>
      <c r="D227">
        <f>IF(Registro!D227&lt;&gt;"",D226+1,0)</f>
      </c>
      <c r="E227">
        <f>IF(Registro!E227&lt;&gt;"",E226+1,0)</f>
      </c>
      <c r="F227">
        <f>IF(Registro!F227&lt;&gt;"",F226+1,0)</f>
      </c>
      <c r="G227">
        <f>IF(Registro!G227&lt;&gt;"",G226+1,0)</f>
      </c>
    </row>
    <row r="228" spans="1:7" x14ac:dyDescent="0.25">
      <c r="A228" s="14">
        <v>46249.25</v>
      </c>
      <c r="B228">
        <f>IF(Registro!B228&lt;&gt;"",B227+1,0)</f>
      </c>
      <c r="C228">
        <f>IF(Registro!C228&lt;&gt;"",C227+1,0)</f>
      </c>
      <c r="D228">
        <f>IF(Registro!D228&lt;&gt;"",D227+1,0)</f>
      </c>
      <c r="E228">
        <f>IF(Registro!E228&lt;&gt;"",E227+1,0)</f>
      </c>
      <c r="F228">
        <f>IF(Registro!F228&lt;&gt;"",F227+1,0)</f>
      </c>
      <c r="G228">
        <f>IF(Registro!G228&lt;&gt;"",G227+1,0)</f>
      </c>
    </row>
    <row r="229" spans="1:7" x14ac:dyDescent="0.25">
      <c r="A229" s="14">
        <v>46250.25</v>
      </c>
      <c r="B229">
        <f>IF(Registro!B229&lt;&gt;"",B228+1,0)</f>
      </c>
      <c r="C229">
        <f>IF(Registro!C229&lt;&gt;"",C228+1,0)</f>
      </c>
      <c r="D229">
        <f>IF(Registro!D229&lt;&gt;"",D228+1,0)</f>
      </c>
      <c r="E229">
        <f>IF(Registro!E229&lt;&gt;"",E228+1,0)</f>
      </c>
      <c r="F229">
        <f>IF(Registro!F229&lt;&gt;"",F228+1,0)</f>
      </c>
      <c r="G229">
        <f>IF(Registro!G229&lt;&gt;"",G228+1,0)</f>
      </c>
    </row>
    <row r="230" spans="1:7" x14ac:dyDescent="0.25">
      <c r="A230" s="14">
        <v>46251.25</v>
      </c>
      <c r="B230">
        <f>IF(Registro!B230&lt;&gt;"",B229+1,0)</f>
      </c>
      <c r="C230">
        <f>IF(Registro!C230&lt;&gt;"",C229+1,0)</f>
      </c>
      <c r="D230">
        <f>IF(Registro!D230&lt;&gt;"",D229+1,0)</f>
      </c>
      <c r="E230">
        <f>IF(Registro!E230&lt;&gt;"",E229+1,0)</f>
      </c>
      <c r="F230">
        <f>IF(Registro!F230&lt;&gt;"",F229+1,0)</f>
      </c>
      <c r="G230">
        <f>IF(Registro!G230&lt;&gt;"",G229+1,0)</f>
      </c>
    </row>
    <row r="231" spans="1:7" x14ac:dyDescent="0.25">
      <c r="A231" s="14">
        <v>46252.25</v>
      </c>
      <c r="B231">
        <f>IF(Registro!B231&lt;&gt;"",B230+1,0)</f>
      </c>
      <c r="C231">
        <f>IF(Registro!C231&lt;&gt;"",C230+1,0)</f>
      </c>
      <c r="D231">
        <f>IF(Registro!D231&lt;&gt;"",D230+1,0)</f>
      </c>
      <c r="E231">
        <f>IF(Registro!E231&lt;&gt;"",E230+1,0)</f>
      </c>
      <c r="F231">
        <f>IF(Registro!F231&lt;&gt;"",F230+1,0)</f>
      </c>
      <c r="G231">
        <f>IF(Registro!G231&lt;&gt;"",G230+1,0)</f>
      </c>
    </row>
    <row r="232" spans="1:7" x14ac:dyDescent="0.25">
      <c r="A232" s="14">
        <v>46253.25</v>
      </c>
      <c r="B232">
        <f>IF(Registro!B232&lt;&gt;"",B231+1,0)</f>
      </c>
      <c r="C232">
        <f>IF(Registro!C232&lt;&gt;"",C231+1,0)</f>
      </c>
      <c r="D232">
        <f>IF(Registro!D232&lt;&gt;"",D231+1,0)</f>
      </c>
      <c r="E232">
        <f>IF(Registro!E232&lt;&gt;"",E231+1,0)</f>
      </c>
      <c r="F232">
        <f>IF(Registro!F232&lt;&gt;"",F231+1,0)</f>
      </c>
      <c r="G232">
        <f>IF(Registro!G232&lt;&gt;"",G231+1,0)</f>
      </c>
    </row>
    <row r="233" spans="1:7" x14ac:dyDescent="0.25">
      <c r="A233" s="14">
        <v>46254.25</v>
      </c>
      <c r="B233">
        <f>IF(Registro!B233&lt;&gt;"",B232+1,0)</f>
      </c>
      <c r="C233">
        <f>IF(Registro!C233&lt;&gt;"",C232+1,0)</f>
      </c>
      <c r="D233">
        <f>IF(Registro!D233&lt;&gt;"",D232+1,0)</f>
      </c>
      <c r="E233">
        <f>IF(Registro!E233&lt;&gt;"",E232+1,0)</f>
      </c>
      <c r="F233">
        <f>IF(Registro!F233&lt;&gt;"",F232+1,0)</f>
      </c>
      <c r="G233">
        <f>IF(Registro!G233&lt;&gt;"",G232+1,0)</f>
      </c>
    </row>
    <row r="234" spans="1:7" x14ac:dyDescent="0.25">
      <c r="A234" s="14">
        <v>46255.25</v>
      </c>
      <c r="B234">
        <f>IF(Registro!B234&lt;&gt;"",B233+1,0)</f>
      </c>
      <c r="C234">
        <f>IF(Registro!C234&lt;&gt;"",C233+1,0)</f>
      </c>
      <c r="D234">
        <f>IF(Registro!D234&lt;&gt;"",D233+1,0)</f>
      </c>
      <c r="E234">
        <f>IF(Registro!E234&lt;&gt;"",E233+1,0)</f>
      </c>
      <c r="F234">
        <f>IF(Registro!F234&lt;&gt;"",F233+1,0)</f>
      </c>
      <c r="G234">
        <f>IF(Registro!G234&lt;&gt;"",G233+1,0)</f>
      </c>
    </row>
    <row r="235" spans="1:7" x14ac:dyDescent="0.25">
      <c r="A235" s="14">
        <v>46256.25</v>
      </c>
      <c r="B235">
        <f>IF(Registro!B235&lt;&gt;"",B234+1,0)</f>
      </c>
      <c r="C235">
        <f>IF(Registro!C235&lt;&gt;"",C234+1,0)</f>
      </c>
      <c r="D235">
        <f>IF(Registro!D235&lt;&gt;"",D234+1,0)</f>
      </c>
      <c r="E235">
        <f>IF(Registro!E235&lt;&gt;"",E234+1,0)</f>
      </c>
      <c r="F235">
        <f>IF(Registro!F235&lt;&gt;"",F234+1,0)</f>
      </c>
      <c r="G235">
        <f>IF(Registro!G235&lt;&gt;"",G234+1,0)</f>
      </c>
    </row>
    <row r="236" spans="1:7" x14ac:dyDescent="0.25">
      <c r="A236" s="14">
        <v>46257.25</v>
      </c>
      <c r="B236">
        <f>IF(Registro!B236&lt;&gt;"",B235+1,0)</f>
      </c>
      <c r="C236">
        <f>IF(Registro!C236&lt;&gt;"",C235+1,0)</f>
      </c>
      <c r="D236">
        <f>IF(Registro!D236&lt;&gt;"",D235+1,0)</f>
      </c>
      <c r="E236">
        <f>IF(Registro!E236&lt;&gt;"",E235+1,0)</f>
      </c>
      <c r="F236">
        <f>IF(Registro!F236&lt;&gt;"",F235+1,0)</f>
      </c>
      <c r="G236">
        <f>IF(Registro!G236&lt;&gt;"",G235+1,0)</f>
      </c>
    </row>
    <row r="237" spans="1:7" x14ac:dyDescent="0.25">
      <c r="A237" s="14">
        <v>46258.25</v>
      </c>
      <c r="B237">
        <f>IF(Registro!B237&lt;&gt;"",B236+1,0)</f>
      </c>
      <c r="C237">
        <f>IF(Registro!C237&lt;&gt;"",C236+1,0)</f>
      </c>
      <c r="D237">
        <f>IF(Registro!D237&lt;&gt;"",D236+1,0)</f>
      </c>
      <c r="E237">
        <f>IF(Registro!E237&lt;&gt;"",E236+1,0)</f>
      </c>
      <c r="F237">
        <f>IF(Registro!F237&lt;&gt;"",F236+1,0)</f>
      </c>
      <c r="G237">
        <f>IF(Registro!G237&lt;&gt;"",G236+1,0)</f>
      </c>
    </row>
    <row r="238" spans="1:7" x14ac:dyDescent="0.25">
      <c r="A238" s="14">
        <v>46259.25</v>
      </c>
      <c r="B238">
        <f>IF(Registro!B238&lt;&gt;"",B237+1,0)</f>
      </c>
      <c r="C238">
        <f>IF(Registro!C238&lt;&gt;"",C237+1,0)</f>
      </c>
      <c r="D238">
        <f>IF(Registro!D238&lt;&gt;"",D237+1,0)</f>
      </c>
      <c r="E238">
        <f>IF(Registro!E238&lt;&gt;"",E237+1,0)</f>
      </c>
      <c r="F238">
        <f>IF(Registro!F238&lt;&gt;"",F237+1,0)</f>
      </c>
      <c r="G238">
        <f>IF(Registro!G238&lt;&gt;"",G237+1,0)</f>
      </c>
    </row>
    <row r="239" spans="1:7" x14ac:dyDescent="0.25">
      <c r="A239" s="14">
        <v>46260.25</v>
      </c>
      <c r="B239">
        <f>IF(Registro!B239&lt;&gt;"",B238+1,0)</f>
      </c>
      <c r="C239">
        <f>IF(Registro!C239&lt;&gt;"",C238+1,0)</f>
      </c>
      <c r="D239">
        <f>IF(Registro!D239&lt;&gt;"",D238+1,0)</f>
      </c>
      <c r="E239">
        <f>IF(Registro!E239&lt;&gt;"",E238+1,0)</f>
      </c>
      <c r="F239">
        <f>IF(Registro!F239&lt;&gt;"",F238+1,0)</f>
      </c>
      <c r="G239">
        <f>IF(Registro!G239&lt;&gt;"",G238+1,0)</f>
      </c>
    </row>
    <row r="240" spans="1:7" x14ac:dyDescent="0.25">
      <c r="A240" s="14">
        <v>46261.25</v>
      </c>
      <c r="B240">
        <f>IF(Registro!B240&lt;&gt;"",B239+1,0)</f>
      </c>
      <c r="C240">
        <f>IF(Registro!C240&lt;&gt;"",C239+1,0)</f>
      </c>
      <c r="D240">
        <f>IF(Registro!D240&lt;&gt;"",D239+1,0)</f>
      </c>
      <c r="E240">
        <f>IF(Registro!E240&lt;&gt;"",E239+1,0)</f>
      </c>
      <c r="F240">
        <f>IF(Registro!F240&lt;&gt;"",F239+1,0)</f>
      </c>
      <c r="G240">
        <f>IF(Registro!G240&lt;&gt;"",G239+1,0)</f>
      </c>
    </row>
    <row r="241" spans="1:7" x14ac:dyDescent="0.25">
      <c r="A241" s="14">
        <v>46262.25</v>
      </c>
      <c r="B241">
        <f>IF(Registro!B241&lt;&gt;"",B240+1,0)</f>
      </c>
      <c r="C241">
        <f>IF(Registro!C241&lt;&gt;"",C240+1,0)</f>
      </c>
      <c r="D241">
        <f>IF(Registro!D241&lt;&gt;"",D240+1,0)</f>
      </c>
      <c r="E241">
        <f>IF(Registro!E241&lt;&gt;"",E240+1,0)</f>
      </c>
      <c r="F241">
        <f>IF(Registro!F241&lt;&gt;"",F240+1,0)</f>
      </c>
      <c r="G241">
        <f>IF(Registro!G241&lt;&gt;"",G240+1,0)</f>
      </c>
    </row>
    <row r="242" spans="1:7" x14ac:dyDescent="0.25">
      <c r="A242" s="14">
        <v>46263.25</v>
      </c>
      <c r="B242">
        <f>IF(Registro!B242&lt;&gt;"",B241+1,0)</f>
      </c>
      <c r="C242">
        <f>IF(Registro!C242&lt;&gt;"",C241+1,0)</f>
      </c>
      <c r="D242">
        <f>IF(Registro!D242&lt;&gt;"",D241+1,0)</f>
      </c>
      <c r="E242">
        <f>IF(Registro!E242&lt;&gt;"",E241+1,0)</f>
      </c>
      <c r="F242">
        <f>IF(Registro!F242&lt;&gt;"",F241+1,0)</f>
      </c>
      <c r="G242">
        <f>IF(Registro!G242&lt;&gt;"",G241+1,0)</f>
      </c>
    </row>
    <row r="243" spans="1:7" x14ac:dyDescent="0.25">
      <c r="A243" s="14">
        <v>46264.25</v>
      </c>
      <c r="B243">
        <f>IF(Registro!B243&lt;&gt;"",B242+1,0)</f>
      </c>
      <c r="C243">
        <f>IF(Registro!C243&lt;&gt;"",C242+1,0)</f>
      </c>
      <c r="D243">
        <f>IF(Registro!D243&lt;&gt;"",D242+1,0)</f>
      </c>
      <c r="E243">
        <f>IF(Registro!E243&lt;&gt;"",E242+1,0)</f>
      </c>
      <c r="F243">
        <f>IF(Registro!F243&lt;&gt;"",F242+1,0)</f>
      </c>
      <c r="G243">
        <f>IF(Registro!G243&lt;&gt;"",G242+1,0)</f>
      </c>
    </row>
    <row r="244" spans="1:7" x14ac:dyDescent="0.25">
      <c r="A244" s="14">
        <v>46265.25</v>
      </c>
      <c r="B244">
        <f>IF(Registro!B244&lt;&gt;"",B243+1,0)</f>
      </c>
      <c r="C244">
        <f>IF(Registro!C244&lt;&gt;"",C243+1,0)</f>
      </c>
      <c r="D244">
        <f>IF(Registro!D244&lt;&gt;"",D243+1,0)</f>
      </c>
      <c r="E244">
        <f>IF(Registro!E244&lt;&gt;"",E243+1,0)</f>
      </c>
      <c r="F244">
        <f>IF(Registro!F244&lt;&gt;"",F243+1,0)</f>
      </c>
      <c r="G244">
        <f>IF(Registro!G244&lt;&gt;"",G243+1,0)</f>
      </c>
    </row>
    <row r="245" spans="1:7" x14ac:dyDescent="0.25">
      <c r="A245" s="14">
        <v>46266.25</v>
      </c>
      <c r="B245">
        <f>IF(Registro!B245&lt;&gt;"",B244+1,0)</f>
      </c>
      <c r="C245">
        <f>IF(Registro!C245&lt;&gt;"",C244+1,0)</f>
      </c>
      <c r="D245">
        <f>IF(Registro!D245&lt;&gt;"",D244+1,0)</f>
      </c>
      <c r="E245">
        <f>IF(Registro!E245&lt;&gt;"",E244+1,0)</f>
      </c>
      <c r="F245">
        <f>IF(Registro!F245&lt;&gt;"",F244+1,0)</f>
      </c>
      <c r="G245">
        <f>IF(Registro!G245&lt;&gt;"",G244+1,0)</f>
      </c>
    </row>
    <row r="246" spans="1:7" x14ac:dyDescent="0.25">
      <c r="A246" s="14">
        <v>46267.25</v>
      </c>
      <c r="B246">
        <f>IF(Registro!B246&lt;&gt;"",B245+1,0)</f>
      </c>
      <c r="C246">
        <f>IF(Registro!C246&lt;&gt;"",C245+1,0)</f>
      </c>
      <c r="D246">
        <f>IF(Registro!D246&lt;&gt;"",D245+1,0)</f>
      </c>
      <c r="E246">
        <f>IF(Registro!E246&lt;&gt;"",E245+1,0)</f>
      </c>
      <c r="F246">
        <f>IF(Registro!F246&lt;&gt;"",F245+1,0)</f>
      </c>
      <c r="G246">
        <f>IF(Registro!G246&lt;&gt;"",G245+1,0)</f>
      </c>
    </row>
    <row r="247" spans="1:7" x14ac:dyDescent="0.25">
      <c r="A247" s="14">
        <v>46268.25</v>
      </c>
      <c r="B247">
        <f>IF(Registro!B247&lt;&gt;"",B246+1,0)</f>
      </c>
      <c r="C247">
        <f>IF(Registro!C247&lt;&gt;"",C246+1,0)</f>
      </c>
      <c r="D247">
        <f>IF(Registro!D247&lt;&gt;"",D246+1,0)</f>
      </c>
      <c r="E247">
        <f>IF(Registro!E247&lt;&gt;"",E246+1,0)</f>
      </c>
      <c r="F247">
        <f>IF(Registro!F247&lt;&gt;"",F246+1,0)</f>
      </c>
      <c r="G247">
        <f>IF(Registro!G247&lt;&gt;"",G246+1,0)</f>
      </c>
    </row>
    <row r="248" spans="1:7" x14ac:dyDescent="0.25">
      <c r="A248" s="14">
        <v>46269.25</v>
      </c>
      <c r="B248">
        <f>IF(Registro!B248&lt;&gt;"",B247+1,0)</f>
      </c>
      <c r="C248">
        <f>IF(Registro!C248&lt;&gt;"",C247+1,0)</f>
      </c>
      <c r="D248">
        <f>IF(Registro!D248&lt;&gt;"",D247+1,0)</f>
      </c>
      <c r="E248">
        <f>IF(Registro!E248&lt;&gt;"",E247+1,0)</f>
      </c>
      <c r="F248">
        <f>IF(Registro!F248&lt;&gt;"",F247+1,0)</f>
      </c>
      <c r="G248">
        <f>IF(Registro!G248&lt;&gt;"",G247+1,0)</f>
      </c>
    </row>
    <row r="249" spans="1:7" x14ac:dyDescent="0.25">
      <c r="A249" s="14">
        <v>46270.25</v>
      </c>
      <c r="B249">
        <f>IF(Registro!B249&lt;&gt;"",B248+1,0)</f>
      </c>
      <c r="C249">
        <f>IF(Registro!C249&lt;&gt;"",C248+1,0)</f>
      </c>
      <c r="D249">
        <f>IF(Registro!D249&lt;&gt;"",D248+1,0)</f>
      </c>
      <c r="E249">
        <f>IF(Registro!E249&lt;&gt;"",E248+1,0)</f>
      </c>
      <c r="F249">
        <f>IF(Registro!F249&lt;&gt;"",F248+1,0)</f>
      </c>
      <c r="G249">
        <f>IF(Registro!G249&lt;&gt;"",G248+1,0)</f>
      </c>
    </row>
    <row r="250" spans="1:7" x14ac:dyDescent="0.25">
      <c r="A250" s="14">
        <v>46271.25</v>
      </c>
      <c r="B250">
        <f>IF(Registro!B250&lt;&gt;"",B249+1,0)</f>
      </c>
      <c r="C250">
        <f>IF(Registro!C250&lt;&gt;"",C249+1,0)</f>
      </c>
      <c r="D250">
        <f>IF(Registro!D250&lt;&gt;"",D249+1,0)</f>
      </c>
      <c r="E250">
        <f>IF(Registro!E250&lt;&gt;"",E249+1,0)</f>
      </c>
      <c r="F250">
        <f>IF(Registro!F250&lt;&gt;"",F249+1,0)</f>
      </c>
      <c r="G250">
        <f>IF(Registro!G250&lt;&gt;"",G249+1,0)</f>
      </c>
    </row>
    <row r="251" spans="1:7" x14ac:dyDescent="0.25">
      <c r="A251" s="14">
        <v>46272.25</v>
      </c>
      <c r="B251">
        <f>IF(Registro!B251&lt;&gt;"",B250+1,0)</f>
      </c>
      <c r="C251">
        <f>IF(Registro!C251&lt;&gt;"",C250+1,0)</f>
      </c>
      <c r="D251">
        <f>IF(Registro!D251&lt;&gt;"",D250+1,0)</f>
      </c>
      <c r="E251">
        <f>IF(Registro!E251&lt;&gt;"",E250+1,0)</f>
      </c>
      <c r="F251">
        <f>IF(Registro!F251&lt;&gt;"",F250+1,0)</f>
      </c>
      <c r="G251">
        <f>IF(Registro!G251&lt;&gt;"",G250+1,0)</f>
      </c>
    </row>
    <row r="252" spans="1:7" x14ac:dyDescent="0.25">
      <c r="A252" s="14">
        <v>46273.25</v>
      </c>
      <c r="B252">
        <f>IF(Registro!B252&lt;&gt;"",B251+1,0)</f>
      </c>
      <c r="C252">
        <f>IF(Registro!C252&lt;&gt;"",C251+1,0)</f>
      </c>
      <c r="D252">
        <f>IF(Registro!D252&lt;&gt;"",D251+1,0)</f>
      </c>
      <c r="E252">
        <f>IF(Registro!E252&lt;&gt;"",E251+1,0)</f>
      </c>
      <c r="F252">
        <f>IF(Registro!F252&lt;&gt;"",F251+1,0)</f>
      </c>
      <c r="G252">
        <f>IF(Registro!G252&lt;&gt;"",G251+1,0)</f>
      </c>
    </row>
    <row r="253" spans="1:7" x14ac:dyDescent="0.25">
      <c r="A253" s="14">
        <v>46274.25</v>
      </c>
      <c r="B253">
        <f>IF(Registro!B253&lt;&gt;"",B252+1,0)</f>
      </c>
      <c r="C253">
        <f>IF(Registro!C253&lt;&gt;"",C252+1,0)</f>
      </c>
      <c r="D253">
        <f>IF(Registro!D253&lt;&gt;"",D252+1,0)</f>
      </c>
      <c r="E253">
        <f>IF(Registro!E253&lt;&gt;"",E252+1,0)</f>
      </c>
      <c r="F253">
        <f>IF(Registro!F253&lt;&gt;"",F252+1,0)</f>
      </c>
      <c r="G253">
        <f>IF(Registro!G253&lt;&gt;"",G252+1,0)</f>
      </c>
    </row>
    <row r="254" spans="1:7" x14ac:dyDescent="0.25">
      <c r="A254" s="14">
        <v>46275.25</v>
      </c>
      <c r="B254">
        <f>IF(Registro!B254&lt;&gt;"",B253+1,0)</f>
      </c>
      <c r="C254">
        <f>IF(Registro!C254&lt;&gt;"",C253+1,0)</f>
      </c>
      <c r="D254">
        <f>IF(Registro!D254&lt;&gt;"",D253+1,0)</f>
      </c>
      <c r="E254">
        <f>IF(Registro!E254&lt;&gt;"",E253+1,0)</f>
      </c>
      <c r="F254">
        <f>IF(Registro!F254&lt;&gt;"",F253+1,0)</f>
      </c>
      <c r="G254">
        <f>IF(Registro!G254&lt;&gt;"",G253+1,0)</f>
      </c>
    </row>
    <row r="255" spans="1:7" x14ac:dyDescent="0.25">
      <c r="A255" s="14">
        <v>46276.25</v>
      </c>
      <c r="B255">
        <f>IF(Registro!B255&lt;&gt;"",B254+1,0)</f>
      </c>
      <c r="C255">
        <f>IF(Registro!C255&lt;&gt;"",C254+1,0)</f>
      </c>
      <c r="D255">
        <f>IF(Registro!D255&lt;&gt;"",D254+1,0)</f>
      </c>
      <c r="E255">
        <f>IF(Registro!E255&lt;&gt;"",E254+1,0)</f>
      </c>
      <c r="F255">
        <f>IF(Registro!F255&lt;&gt;"",F254+1,0)</f>
      </c>
      <c r="G255">
        <f>IF(Registro!G255&lt;&gt;"",G254+1,0)</f>
      </c>
    </row>
    <row r="256" spans="1:7" x14ac:dyDescent="0.25">
      <c r="A256" s="14">
        <v>46277.25</v>
      </c>
      <c r="B256">
        <f>IF(Registro!B256&lt;&gt;"",B255+1,0)</f>
      </c>
      <c r="C256">
        <f>IF(Registro!C256&lt;&gt;"",C255+1,0)</f>
      </c>
      <c r="D256">
        <f>IF(Registro!D256&lt;&gt;"",D255+1,0)</f>
      </c>
      <c r="E256">
        <f>IF(Registro!E256&lt;&gt;"",E255+1,0)</f>
      </c>
      <c r="F256">
        <f>IF(Registro!F256&lt;&gt;"",F255+1,0)</f>
      </c>
      <c r="G256">
        <f>IF(Registro!G256&lt;&gt;"",G255+1,0)</f>
      </c>
    </row>
    <row r="257" spans="1:7" x14ac:dyDescent="0.25">
      <c r="A257" s="14">
        <v>46278.25</v>
      </c>
      <c r="B257">
        <f>IF(Registro!B257&lt;&gt;"",B256+1,0)</f>
      </c>
      <c r="C257">
        <f>IF(Registro!C257&lt;&gt;"",C256+1,0)</f>
      </c>
      <c r="D257">
        <f>IF(Registro!D257&lt;&gt;"",D256+1,0)</f>
      </c>
      <c r="E257">
        <f>IF(Registro!E257&lt;&gt;"",E256+1,0)</f>
      </c>
      <c r="F257">
        <f>IF(Registro!F257&lt;&gt;"",F256+1,0)</f>
      </c>
      <c r="G257">
        <f>IF(Registro!G257&lt;&gt;"",G256+1,0)</f>
      </c>
    </row>
    <row r="258" spans="1:7" x14ac:dyDescent="0.25">
      <c r="A258" s="14">
        <v>46279.25</v>
      </c>
      <c r="B258">
        <f>IF(Registro!B258&lt;&gt;"",B257+1,0)</f>
      </c>
      <c r="C258">
        <f>IF(Registro!C258&lt;&gt;"",C257+1,0)</f>
      </c>
      <c r="D258">
        <f>IF(Registro!D258&lt;&gt;"",D257+1,0)</f>
      </c>
      <c r="E258">
        <f>IF(Registro!E258&lt;&gt;"",E257+1,0)</f>
      </c>
      <c r="F258">
        <f>IF(Registro!F258&lt;&gt;"",F257+1,0)</f>
      </c>
      <c r="G258">
        <f>IF(Registro!G258&lt;&gt;"",G257+1,0)</f>
      </c>
    </row>
    <row r="259" spans="1:7" x14ac:dyDescent="0.25">
      <c r="A259" s="14">
        <v>46280.25</v>
      </c>
      <c r="B259">
        <f>IF(Registro!B259&lt;&gt;"",B258+1,0)</f>
      </c>
      <c r="C259">
        <f>IF(Registro!C259&lt;&gt;"",C258+1,0)</f>
      </c>
      <c r="D259">
        <f>IF(Registro!D259&lt;&gt;"",D258+1,0)</f>
      </c>
      <c r="E259">
        <f>IF(Registro!E259&lt;&gt;"",E258+1,0)</f>
      </c>
      <c r="F259">
        <f>IF(Registro!F259&lt;&gt;"",F258+1,0)</f>
      </c>
      <c r="G259">
        <f>IF(Registro!G259&lt;&gt;"",G258+1,0)</f>
      </c>
    </row>
    <row r="260" spans="1:7" x14ac:dyDescent="0.25">
      <c r="A260" s="14">
        <v>46281.25</v>
      </c>
      <c r="B260">
        <f>IF(Registro!B260&lt;&gt;"",B259+1,0)</f>
      </c>
      <c r="C260">
        <f>IF(Registro!C260&lt;&gt;"",C259+1,0)</f>
      </c>
      <c r="D260">
        <f>IF(Registro!D260&lt;&gt;"",D259+1,0)</f>
      </c>
      <c r="E260">
        <f>IF(Registro!E260&lt;&gt;"",E259+1,0)</f>
      </c>
      <c r="F260">
        <f>IF(Registro!F260&lt;&gt;"",F259+1,0)</f>
      </c>
      <c r="G260">
        <f>IF(Registro!G260&lt;&gt;"",G259+1,0)</f>
      </c>
    </row>
    <row r="261" spans="1:7" x14ac:dyDescent="0.25">
      <c r="A261" s="14">
        <v>46282.25</v>
      </c>
      <c r="B261">
        <f>IF(Registro!B261&lt;&gt;"",B260+1,0)</f>
      </c>
      <c r="C261">
        <f>IF(Registro!C261&lt;&gt;"",C260+1,0)</f>
      </c>
      <c r="D261">
        <f>IF(Registro!D261&lt;&gt;"",D260+1,0)</f>
      </c>
      <c r="E261">
        <f>IF(Registro!E261&lt;&gt;"",E260+1,0)</f>
      </c>
      <c r="F261">
        <f>IF(Registro!F261&lt;&gt;"",F260+1,0)</f>
      </c>
      <c r="G261">
        <f>IF(Registro!G261&lt;&gt;"",G260+1,0)</f>
      </c>
    </row>
    <row r="262" spans="1:7" x14ac:dyDescent="0.25">
      <c r="A262" s="14">
        <v>46283.25</v>
      </c>
      <c r="B262">
        <f>IF(Registro!B262&lt;&gt;"",B261+1,0)</f>
      </c>
      <c r="C262">
        <f>IF(Registro!C262&lt;&gt;"",C261+1,0)</f>
      </c>
      <c r="D262">
        <f>IF(Registro!D262&lt;&gt;"",D261+1,0)</f>
      </c>
      <c r="E262">
        <f>IF(Registro!E262&lt;&gt;"",E261+1,0)</f>
      </c>
      <c r="F262">
        <f>IF(Registro!F262&lt;&gt;"",F261+1,0)</f>
      </c>
      <c r="G262">
        <f>IF(Registro!G262&lt;&gt;"",G261+1,0)</f>
      </c>
    </row>
    <row r="263" spans="1:7" x14ac:dyDescent="0.25">
      <c r="A263" s="14">
        <v>46284.25</v>
      </c>
      <c r="B263">
        <f>IF(Registro!B263&lt;&gt;"",B262+1,0)</f>
      </c>
      <c r="C263">
        <f>IF(Registro!C263&lt;&gt;"",C262+1,0)</f>
      </c>
      <c r="D263">
        <f>IF(Registro!D263&lt;&gt;"",D262+1,0)</f>
      </c>
      <c r="E263">
        <f>IF(Registro!E263&lt;&gt;"",E262+1,0)</f>
      </c>
      <c r="F263">
        <f>IF(Registro!F263&lt;&gt;"",F262+1,0)</f>
      </c>
      <c r="G263">
        <f>IF(Registro!G263&lt;&gt;"",G262+1,0)</f>
      </c>
    </row>
    <row r="264" spans="1:7" x14ac:dyDescent="0.25">
      <c r="A264" s="14">
        <v>46285.25</v>
      </c>
      <c r="B264">
        <f>IF(Registro!B264&lt;&gt;"",B263+1,0)</f>
      </c>
      <c r="C264">
        <f>IF(Registro!C264&lt;&gt;"",C263+1,0)</f>
      </c>
      <c r="D264">
        <f>IF(Registro!D264&lt;&gt;"",D263+1,0)</f>
      </c>
      <c r="E264">
        <f>IF(Registro!E264&lt;&gt;"",E263+1,0)</f>
      </c>
      <c r="F264">
        <f>IF(Registro!F264&lt;&gt;"",F263+1,0)</f>
      </c>
      <c r="G264">
        <f>IF(Registro!G264&lt;&gt;"",G263+1,0)</f>
      </c>
    </row>
    <row r="265" spans="1:7" x14ac:dyDescent="0.25">
      <c r="A265" s="14">
        <v>46286.25</v>
      </c>
      <c r="B265">
        <f>IF(Registro!B265&lt;&gt;"",B264+1,0)</f>
      </c>
      <c r="C265">
        <f>IF(Registro!C265&lt;&gt;"",C264+1,0)</f>
      </c>
      <c r="D265">
        <f>IF(Registro!D265&lt;&gt;"",D264+1,0)</f>
      </c>
      <c r="E265">
        <f>IF(Registro!E265&lt;&gt;"",E264+1,0)</f>
      </c>
      <c r="F265">
        <f>IF(Registro!F265&lt;&gt;"",F264+1,0)</f>
      </c>
      <c r="G265">
        <f>IF(Registro!G265&lt;&gt;"",G264+1,0)</f>
      </c>
    </row>
    <row r="266" spans="1:7" x14ac:dyDescent="0.25">
      <c r="A266" s="14">
        <v>46287.25</v>
      </c>
      <c r="B266">
        <f>IF(Registro!B266&lt;&gt;"",B265+1,0)</f>
      </c>
      <c r="C266">
        <f>IF(Registro!C266&lt;&gt;"",C265+1,0)</f>
      </c>
      <c r="D266">
        <f>IF(Registro!D266&lt;&gt;"",D265+1,0)</f>
      </c>
      <c r="E266">
        <f>IF(Registro!E266&lt;&gt;"",E265+1,0)</f>
      </c>
      <c r="F266">
        <f>IF(Registro!F266&lt;&gt;"",F265+1,0)</f>
      </c>
      <c r="G266">
        <f>IF(Registro!G266&lt;&gt;"",G265+1,0)</f>
      </c>
    </row>
    <row r="267" spans="1:7" x14ac:dyDescent="0.25">
      <c r="A267" s="14">
        <v>46288.25</v>
      </c>
      <c r="B267">
        <f>IF(Registro!B267&lt;&gt;"",B266+1,0)</f>
      </c>
      <c r="C267">
        <f>IF(Registro!C267&lt;&gt;"",C266+1,0)</f>
      </c>
      <c r="D267">
        <f>IF(Registro!D267&lt;&gt;"",D266+1,0)</f>
      </c>
      <c r="E267">
        <f>IF(Registro!E267&lt;&gt;"",E266+1,0)</f>
      </c>
      <c r="F267">
        <f>IF(Registro!F267&lt;&gt;"",F266+1,0)</f>
      </c>
      <c r="G267">
        <f>IF(Registro!G267&lt;&gt;"",G266+1,0)</f>
      </c>
    </row>
    <row r="268" spans="1:7" x14ac:dyDescent="0.25">
      <c r="A268" s="14">
        <v>46289.25</v>
      </c>
      <c r="B268">
        <f>IF(Registro!B268&lt;&gt;"",B267+1,0)</f>
      </c>
      <c r="C268">
        <f>IF(Registro!C268&lt;&gt;"",C267+1,0)</f>
      </c>
      <c r="D268">
        <f>IF(Registro!D268&lt;&gt;"",D267+1,0)</f>
      </c>
      <c r="E268">
        <f>IF(Registro!E268&lt;&gt;"",E267+1,0)</f>
      </c>
      <c r="F268">
        <f>IF(Registro!F268&lt;&gt;"",F267+1,0)</f>
      </c>
      <c r="G268">
        <f>IF(Registro!G268&lt;&gt;"",G267+1,0)</f>
      </c>
    </row>
    <row r="269" spans="1:7" x14ac:dyDescent="0.25">
      <c r="A269" s="14">
        <v>46290.25</v>
      </c>
      <c r="B269">
        <f>IF(Registro!B269&lt;&gt;"",B268+1,0)</f>
      </c>
      <c r="C269">
        <f>IF(Registro!C269&lt;&gt;"",C268+1,0)</f>
      </c>
      <c r="D269">
        <f>IF(Registro!D269&lt;&gt;"",D268+1,0)</f>
      </c>
      <c r="E269">
        <f>IF(Registro!E269&lt;&gt;"",E268+1,0)</f>
      </c>
      <c r="F269">
        <f>IF(Registro!F269&lt;&gt;"",F268+1,0)</f>
      </c>
      <c r="G269">
        <f>IF(Registro!G269&lt;&gt;"",G268+1,0)</f>
      </c>
    </row>
    <row r="270" spans="1:7" x14ac:dyDescent="0.25">
      <c r="A270" s="14">
        <v>46291.25</v>
      </c>
      <c r="B270">
        <f>IF(Registro!B270&lt;&gt;"",B269+1,0)</f>
      </c>
      <c r="C270">
        <f>IF(Registro!C270&lt;&gt;"",C269+1,0)</f>
      </c>
      <c r="D270">
        <f>IF(Registro!D270&lt;&gt;"",D269+1,0)</f>
      </c>
      <c r="E270">
        <f>IF(Registro!E270&lt;&gt;"",E269+1,0)</f>
      </c>
      <c r="F270">
        <f>IF(Registro!F270&lt;&gt;"",F269+1,0)</f>
      </c>
      <c r="G270">
        <f>IF(Registro!G270&lt;&gt;"",G269+1,0)</f>
      </c>
    </row>
    <row r="271" spans="1:7" x14ac:dyDescent="0.25">
      <c r="A271" s="14">
        <v>46292.25</v>
      </c>
      <c r="B271">
        <f>IF(Registro!B271&lt;&gt;"",B270+1,0)</f>
      </c>
      <c r="C271">
        <f>IF(Registro!C271&lt;&gt;"",C270+1,0)</f>
      </c>
      <c r="D271">
        <f>IF(Registro!D271&lt;&gt;"",D270+1,0)</f>
      </c>
      <c r="E271">
        <f>IF(Registro!E271&lt;&gt;"",E270+1,0)</f>
      </c>
      <c r="F271">
        <f>IF(Registro!F271&lt;&gt;"",F270+1,0)</f>
      </c>
      <c r="G271">
        <f>IF(Registro!G271&lt;&gt;"",G270+1,0)</f>
      </c>
    </row>
    <row r="272" spans="1:7" x14ac:dyDescent="0.25">
      <c r="A272" s="14">
        <v>46293.25</v>
      </c>
      <c r="B272">
        <f>IF(Registro!B272&lt;&gt;"",B271+1,0)</f>
      </c>
      <c r="C272">
        <f>IF(Registro!C272&lt;&gt;"",C271+1,0)</f>
      </c>
      <c r="D272">
        <f>IF(Registro!D272&lt;&gt;"",D271+1,0)</f>
      </c>
      <c r="E272">
        <f>IF(Registro!E272&lt;&gt;"",E271+1,0)</f>
      </c>
      <c r="F272">
        <f>IF(Registro!F272&lt;&gt;"",F271+1,0)</f>
      </c>
      <c r="G272">
        <f>IF(Registro!G272&lt;&gt;"",G271+1,0)</f>
      </c>
    </row>
    <row r="273" spans="1:7" x14ac:dyDescent="0.25">
      <c r="A273" s="14">
        <v>46294.25</v>
      </c>
      <c r="B273">
        <f>IF(Registro!B273&lt;&gt;"",B272+1,0)</f>
      </c>
      <c r="C273">
        <f>IF(Registro!C273&lt;&gt;"",C272+1,0)</f>
      </c>
      <c r="D273">
        <f>IF(Registro!D273&lt;&gt;"",D272+1,0)</f>
      </c>
      <c r="E273">
        <f>IF(Registro!E273&lt;&gt;"",E272+1,0)</f>
      </c>
      <c r="F273">
        <f>IF(Registro!F273&lt;&gt;"",F272+1,0)</f>
      </c>
      <c r="G273">
        <f>IF(Registro!G273&lt;&gt;"",G272+1,0)</f>
      </c>
    </row>
    <row r="274" spans="1:7" x14ac:dyDescent="0.25">
      <c r="A274" s="14">
        <v>46295.25</v>
      </c>
      <c r="B274">
        <f>IF(Registro!B274&lt;&gt;"",B273+1,0)</f>
      </c>
      <c r="C274">
        <f>IF(Registro!C274&lt;&gt;"",C273+1,0)</f>
      </c>
      <c r="D274">
        <f>IF(Registro!D274&lt;&gt;"",D273+1,0)</f>
      </c>
      <c r="E274">
        <f>IF(Registro!E274&lt;&gt;"",E273+1,0)</f>
      </c>
      <c r="F274">
        <f>IF(Registro!F274&lt;&gt;"",F273+1,0)</f>
      </c>
      <c r="G274">
        <f>IF(Registro!G274&lt;&gt;"",G273+1,0)</f>
      </c>
    </row>
    <row r="275" spans="1:7" x14ac:dyDescent="0.25">
      <c r="A275" s="14">
        <v>46296.25</v>
      </c>
      <c r="B275">
        <f>IF(Registro!B275&lt;&gt;"",B274+1,0)</f>
      </c>
      <c r="C275">
        <f>IF(Registro!C275&lt;&gt;"",C274+1,0)</f>
      </c>
      <c r="D275">
        <f>IF(Registro!D275&lt;&gt;"",D274+1,0)</f>
      </c>
      <c r="E275">
        <f>IF(Registro!E275&lt;&gt;"",E274+1,0)</f>
      </c>
      <c r="F275">
        <f>IF(Registro!F275&lt;&gt;"",F274+1,0)</f>
      </c>
      <c r="G275">
        <f>IF(Registro!G275&lt;&gt;"",G274+1,0)</f>
      </c>
    </row>
    <row r="276" spans="1:7" x14ac:dyDescent="0.25">
      <c r="A276" s="14">
        <v>46297.25</v>
      </c>
      <c r="B276">
        <f>IF(Registro!B276&lt;&gt;"",B275+1,0)</f>
      </c>
      <c r="C276">
        <f>IF(Registro!C276&lt;&gt;"",C275+1,0)</f>
      </c>
      <c r="D276">
        <f>IF(Registro!D276&lt;&gt;"",D275+1,0)</f>
      </c>
      <c r="E276">
        <f>IF(Registro!E276&lt;&gt;"",E275+1,0)</f>
      </c>
      <c r="F276">
        <f>IF(Registro!F276&lt;&gt;"",F275+1,0)</f>
      </c>
      <c r="G276">
        <f>IF(Registro!G276&lt;&gt;"",G275+1,0)</f>
      </c>
    </row>
    <row r="277" spans="1:7" x14ac:dyDescent="0.25">
      <c r="A277" s="14">
        <v>46298.25</v>
      </c>
      <c r="B277">
        <f>IF(Registro!B277&lt;&gt;"",B276+1,0)</f>
      </c>
      <c r="C277">
        <f>IF(Registro!C277&lt;&gt;"",C276+1,0)</f>
      </c>
      <c r="D277">
        <f>IF(Registro!D277&lt;&gt;"",D276+1,0)</f>
      </c>
      <c r="E277">
        <f>IF(Registro!E277&lt;&gt;"",E276+1,0)</f>
      </c>
      <c r="F277">
        <f>IF(Registro!F277&lt;&gt;"",F276+1,0)</f>
      </c>
      <c r="G277">
        <f>IF(Registro!G277&lt;&gt;"",G276+1,0)</f>
      </c>
    </row>
    <row r="278" spans="1:7" x14ac:dyDescent="0.25">
      <c r="A278" s="14">
        <v>46299.25</v>
      </c>
      <c r="B278">
        <f>IF(Registro!B278&lt;&gt;"",B277+1,0)</f>
      </c>
      <c r="C278">
        <f>IF(Registro!C278&lt;&gt;"",C277+1,0)</f>
      </c>
      <c r="D278">
        <f>IF(Registro!D278&lt;&gt;"",D277+1,0)</f>
      </c>
      <c r="E278">
        <f>IF(Registro!E278&lt;&gt;"",E277+1,0)</f>
      </c>
      <c r="F278">
        <f>IF(Registro!F278&lt;&gt;"",F277+1,0)</f>
      </c>
      <c r="G278">
        <f>IF(Registro!G278&lt;&gt;"",G277+1,0)</f>
      </c>
    </row>
    <row r="279" spans="1:7" x14ac:dyDescent="0.25">
      <c r="A279" s="14">
        <v>46300.25</v>
      </c>
      <c r="B279">
        <f>IF(Registro!B279&lt;&gt;"",B278+1,0)</f>
      </c>
      <c r="C279">
        <f>IF(Registro!C279&lt;&gt;"",C278+1,0)</f>
      </c>
      <c r="D279">
        <f>IF(Registro!D279&lt;&gt;"",D278+1,0)</f>
      </c>
      <c r="E279">
        <f>IF(Registro!E279&lt;&gt;"",E278+1,0)</f>
      </c>
      <c r="F279">
        <f>IF(Registro!F279&lt;&gt;"",F278+1,0)</f>
      </c>
      <c r="G279">
        <f>IF(Registro!G279&lt;&gt;"",G278+1,0)</f>
      </c>
    </row>
    <row r="280" spans="1:7" x14ac:dyDescent="0.25">
      <c r="A280" s="14">
        <v>46301.25</v>
      </c>
      <c r="B280">
        <f>IF(Registro!B280&lt;&gt;"",B279+1,0)</f>
      </c>
      <c r="C280">
        <f>IF(Registro!C280&lt;&gt;"",C279+1,0)</f>
      </c>
      <c r="D280">
        <f>IF(Registro!D280&lt;&gt;"",D279+1,0)</f>
      </c>
      <c r="E280">
        <f>IF(Registro!E280&lt;&gt;"",E279+1,0)</f>
      </c>
      <c r="F280">
        <f>IF(Registro!F280&lt;&gt;"",F279+1,0)</f>
      </c>
      <c r="G280">
        <f>IF(Registro!G280&lt;&gt;"",G279+1,0)</f>
      </c>
    </row>
    <row r="281" spans="1:7" x14ac:dyDescent="0.25">
      <c r="A281" s="14">
        <v>46302.25</v>
      </c>
      <c r="B281">
        <f>IF(Registro!B281&lt;&gt;"",B280+1,0)</f>
      </c>
      <c r="C281">
        <f>IF(Registro!C281&lt;&gt;"",C280+1,0)</f>
      </c>
      <c r="D281">
        <f>IF(Registro!D281&lt;&gt;"",D280+1,0)</f>
      </c>
      <c r="E281">
        <f>IF(Registro!E281&lt;&gt;"",E280+1,0)</f>
      </c>
      <c r="F281">
        <f>IF(Registro!F281&lt;&gt;"",F280+1,0)</f>
      </c>
      <c r="G281">
        <f>IF(Registro!G281&lt;&gt;"",G280+1,0)</f>
      </c>
    </row>
    <row r="282" spans="1:7" x14ac:dyDescent="0.25">
      <c r="A282" s="14">
        <v>46303.25</v>
      </c>
      <c r="B282">
        <f>IF(Registro!B282&lt;&gt;"",B281+1,0)</f>
      </c>
      <c r="C282">
        <f>IF(Registro!C282&lt;&gt;"",C281+1,0)</f>
      </c>
      <c r="D282">
        <f>IF(Registro!D282&lt;&gt;"",D281+1,0)</f>
      </c>
      <c r="E282">
        <f>IF(Registro!E282&lt;&gt;"",E281+1,0)</f>
      </c>
      <c r="F282">
        <f>IF(Registro!F282&lt;&gt;"",F281+1,0)</f>
      </c>
      <c r="G282">
        <f>IF(Registro!G282&lt;&gt;"",G281+1,0)</f>
      </c>
    </row>
    <row r="283" spans="1:7" x14ac:dyDescent="0.25">
      <c r="A283" s="14">
        <v>46304.25</v>
      </c>
      <c r="B283">
        <f>IF(Registro!B283&lt;&gt;"",B282+1,0)</f>
      </c>
      <c r="C283">
        <f>IF(Registro!C283&lt;&gt;"",C282+1,0)</f>
      </c>
      <c r="D283">
        <f>IF(Registro!D283&lt;&gt;"",D282+1,0)</f>
      </c>
      <c r="E283">
        <f>IF(Registro!E283&lt;&gt;"",E282+1,0)</f>
      </c>
      <c r="F283">
        <f>IF(Registro!F283&lt;&gt;"",F282+1,0)</f>
      </c>
      <c r="G283">
        <f>IF(Registro!G283&lt;&gt;"",G282+1,0)</f>
      </c>
    </row>
    <row r="284" spans="1:7" x14ac:dyDescent="0.25">
      <c r="A284" s="14">
        <v>46305.25</v>
      </c>
      <c r="B284">
        <f>IF(Registro!B284&lt;&gt;"",B283+1,0)</f>
      </c>
      <c r="C284">
        <f>IF(Registro!C284&lt;&gt;"",C283+1,0)</f>
      </c>
      <c r="D284">
        <f>IF(Registro!D284&lt;&gt;"",D283+1,0)</f>
      </c>
      <c r="E284">
        <f>IF(Registro!E284&lt;&gt;"",E283+1,0)</f>
      </c>
      <c r="F284">
        <f>IF(Registro!F284&lt;&gt;"",F283+1,0)</f>
      </c>
      <c r="G284">
        <f>IF(Registro!G284&lt;&gt;"",G283+1,0)</f>
      </c>
    </row>
    <row r="285" spans="1:7" x14ac:dyDescent="0.25">
      <c r="A285" s="14">
        <v>46306.25</v>
      </c>
      <c r="B285">
        <f>IF(Registro!B285&lt;&gt;"",B284+1,0)</f>
      </c>
      <c r="C285">
        <f>IF(Registro!C285&lt;&gt;"",C284+1,0)</f>
      </c>
      <c r="D285">
        <f>IF(Registro!D285&lt;&gt;"",D284+1,0)</f>
      </c>
      <c r="E285">
        <f>IF(Registro!E285&lt;&gt;"",E284+1,0)</f>
      </c>
      <c r="F285">
        <f>IF(Registro!F285&lt;&gt;"",F284+1,0)</f>
      </c>
      <c r="G285">
        <f>IF(Registro!G285&lt;&gt;"",G284+1,0)</f>
      </c>
    </row>
    <row r="286" spans="1:7" x14ac:dyDescent="0.25">
      <c r="A286" s="14">
        <v>46307.25</v>
      </c>
      <c r="B286">
        <f>IF(Registro!B286&lt;&gt;"",B285+1,0)</f>
      </c>
      <c r="C286">
        <f>IF(Registro!C286&lt;&gt;"",C285+1,0)</f>
      </c>
      <c r="D286">
        <f>IF(Registro!D286&lt;&gt;"",D285+1,0)</f>
      </c>
      <c r="E286">
        <f>IF(Registro!E286&lt;&gt;"",E285+1,0)</f>
      </c>
      <c r="F286">
        <f>IF(Registro!F286&lt;&gt;"",F285+1,0)</f>
      </c>
      <c r="G286">
        <f>IF(Registro!G286&lt;&gt;"",G285+1,0)</f>
      </c>
    </row>
    <row r="287" spans="1:7" x14ac:dyDescent="0.25">
      <c r="A287" s="14">
        <v>46308.25</v>
      </c>
      <c r="B287">
        <f>IF(Registro!B287&lt;&gt;"",B286+1,0)</f>
      </c>
      <c r="C287">
        <f>IF(Registro!C287&lt;&gt;"",C286+1,0)</f>
      </c>
      <c r="D287">
        <f>IF(Registro!D287&lt;&gt;"",D286+1,0)</f>
      </c>
      <c r="E287">
        <f>IF(Registro!E287&lt;&gt;"",E286+1,0)</f>
      </c>
      <c r="F287">
        <f>IF(Registro!F287&lt;&gt;"",F286+1,0)</f>
      </c>
      <c r="G287">
        <f>IF(Registro!G287&lt;&gt;"",G286+1,0)</f>
      </c>
    </row>
    <row r="288" spans="1:7" x14ac:dyDescent="0.25">
      <c r="A288" s="14">
        <v>46309.25</v>
      </c>
      <c r="B288">
        <f>IF(Registro!B288&lt;&gt;"",B287+1,0)</f>
      </c>
      <c r="C288">
        <f>IF(Registro!C288&lt;&gt;"",C287+1,0)</f>
      </c>
      <c r="D288">
        <f>IF(Registro!D288&lt;&gt;"",D287+1,0)</f>
      </c>
      <c r="E288">
        <f>IF(Registro!E288&lt;&gt;"",E287+1,0)</f>
      </c>
      <c r="F288">
        <f>IF(Registro!F288&lt;&gt;"",F287+1,0)</f>
      </c>
      <c r="G288">
        <f>IF(Registro!G288&lt;&gt;"",G287+1,0)</f>
      </c>
    </row>
    <row r="289" spans="1:7" x14ac:dyDescent="0.25">
      <c r="A289" s="14">
        <v>46310.25</v>
      </c>
      <c r="B289">
        <f>IF(Registro!B289&lt;&gt;"",B288+1,0)</f>
      </c>
      <c r="C289">
        <f>IF(Registro!C289&lt;&gt;"",C288+1,0)</f>
      </c>
      <c r="D289">
        <f>IF(Registro!D289&lt;&gt;"",D288+1,0)</f>
      </c>
      <c r="E289">
        <f>IF(Registro!E289&lt;&gt;"",E288+1,0)</f>
      </c>
      <c r="F289">
        <f>IF(Registro!F289&lt;&gt;"",F288+1,0)</f>
      </c>
      <c r="G289">
        <f>IF(Registro!G289&lt;&gt;"",G288+1,0)</f>
      </c>
    </row>
    <row r="290" spans="1:7" x14ac:dyDescent="0.25">
      <c r="A290" s="14">
        <v>46311.25</v>
      </c>
      <c r="B290">
        <f>IF(Registro!B290&lt;&gt;"",B289+1,0)</f>
      </c>
      <c r="C290">
        <f>IF(Registro!C290&lt;&gt;"",C289+1,0)</f>
      </c>
      <c r="D290">
        <f>IF(Registro!D290&lt;&gt;"",D289+1,0)</f>
      </c>
      <c r="E290">
        <f>IF(Registro!E290&lt;&gt;"",E289+1,0)</f>
      </c>
      <c r="F290">
        <f>IF(Registro!F290&lt;&gt;"",F289+1,0)</f>
      </c>
      <c r="G290">
        <f>IF(Registro!G290&lt;&gt;"",G289+1,0)</f>
      </c>
    </row>
    <row r="291" spans="1:7" x14ac:dyDescent="0.25">
      <c r="A291" s="14">
        <v>46312.25</v>
      </c>
      <c r="B291">
        <f>IF(Registro!B291&lt;&gt;"",B290+1,0)</f>
      </c>
      <c r="C291">
        <f>IF(Registro!C291&lt;&gt;"",C290+1,0)</f>
      </c>
      <c r="D291">
        <f>IF(Registro!D291&lt;&gt;"",D290+1,0)</f>
      </c>
      <c r="E291">
        <f>IF(Registro!E291&lt;&gt;"",E290+1,0)</f>
      </c>
      <c r="F291">
        <f>IF(Registro!F291&lt;&gt;"",F290+1,0)</f>
      </c>
      <c r="G291">
        <f>IF(Registro!G291&lt;&gt;"",G290+1,0)</f>
      </c>
    </row>
    <row r="292" spans="1:7" x14ac:dyDescent="0.25">
      <c r="A292" s="14">
        <v>46313.25</v>
      </c>
      <c r="B292">
        <f>IF(Registro!B292&lt;&gt;"",B291+1,0)</f>
      </c>
      <c r="C292">
        <f>IF(Registro!C292&lt;&gt;"",C291+1,0)</f>
      </c>
      <c r="D292">
        <f>IF(Registro!D292&lt;&gt;"",D291+1,0)</f>
      </c>
      <c r="E292">
        <f>IF(Registro!E292&lt;&gt;"",E291+1,0)</f>
      </c>
      <c r="F292">
        <f>IF(Registro!F292&lt;&gt;"",F291+1,0)</f>
      </c>
      <c r="G292">
        <f>IF(Registro!G292&lt;&gt;"",G291+1,0)</f>
      </c>
    </row>
    <row r="293" spans="1:7" x14ac:dyDescent="0.25">
      <c r="A293" s="14">
        <v>46314.25</v>
      </c>
      <c r="B293">
        <f>IF(Registro!B293&lt;&gt;"",B292+1,0)</f>
      </c>
      <c r="C293">
        <f>IF(Registro!C293&lt;&gt;"",C292+1,0)</f>
      </c>
      <c r="D293">
        <f>IF(Registro!D293&lt;&gt;"",D292+1,0)</f>
      </c>
      <c r="E293">
        <f>IF(Registro!E293&lt;&gt;"",E292+1,0)</f>
      </c>
      <c r="F293">
        <f>IF(Registro!F293&lt;&gt;"",F292+1,0)</f>
      </c>
      <c r="G293">
        <f>IF(Registro!G293&lt;&gt;"",G292+1,0)</f>
      </c>
    </row>
    <row r="294" spans="1:7" x14ac:dyDescent="0.25">
      <c r="A294" s="14">
        <v>46315.25</v>
      </c>
      <c r="B294">
        <f>IF(Registro!B294&lt;&gt;"",B293+1,0)</f>
      </c>
      <c r="C294">
        <f>IF(Registro!C294&lt;&gt;"",C293+1,0)</f>
      </c>
      <c r="D294">
        <f>IF(Registro!D294&lt;&gt;"",D293+1,0)</f>
      </c>
      <c r="E294">
        <f>IF(Registro!E294&lt;&gt;"",E293+1,0)</f>
      </c>
      <c r="F294">
        <f>IF(Registro!F294&lt;&gt;"",F293+1,0)</f>
      </c>
      <c r="G294">
        <f>IF(Registro!G294&lt;&gt;"",G293+1,0)</f>
      </c>
    </row>
    <row r="295" spans="1:7" x14ac:dyDescent="0.25">
      <c r="A295" s="14">
        <v>46316.25</v>
      </c>
      <c r="B295">
        <f>IF(Registro!B295&lt;&gt;"",B294+1,0)</f>
      </c>
      <c r="C295">
        <f>IF(Registro!C295&lt;&gt;"",C294+1,0)</f>
      </c>
      <c r="D295">
        <f>IF(Registro!D295&lt;&gt;"",D294+1,0)</f>
      </c>
      <c r="E295">
        <f>IF(Registro!E295&lt;&gt;"",E294+1,0)</f>
      </c>
      <c r="F295">
        <f>IF(Registro!F295&lt;&gt;"",F294+1,0)</f>
      </c>
      <c r="G295">
        <f>IF(Registro!G295&lt;&gt;"",G294+1,0)</f>
      </c>
    </row>
    <row r="296" spans="1:7" x14ac:dyDescent="0.25">
      <c r="A296" s="14">
        <v>46317.25</v>
      </c>
      <c r="B296">
        <f>IF(Registro!B296&lt;&gt;"",B295+1,0)</f>
      </c>
      <c r="C296">
        <f>IF(Registro!C296&lt;&gt;"",C295+1,0)</f>
      </c>
      <c r="D296">
        <f>IF(Registro!D296&lt;&gt;"",D295+1,0)</f>
      </c>
      <c r="E296">
        <f>IF(Registro!E296&lt;&gt;"",E295+1,0)</f>
      </c>
      <c r="F296">
        <f>IF(Registro!F296&lt;&gt;"",F295+1,0)</f>
      </c>
      <c r="G296">
        <f>IF(Registro!G296&lt;&gt;"",G295+1,0)</f>
      </c>
    </row>
    <row r="297" spans="1:7" x14ac:dyDescent="0.25">
      <c r="A297" s="14">
        <v>46318.25</v>
      </c>
      <c r="B297">
        <f>IF(Registro!B297&lt;&gt;"",B296+1,0)</f>
      </c>
      <c r="C297">
        <f>IF(Registro!C297&lt;&gt;"",C296+1,0)</f>
      </c>
      <c r="D297">
        <f>IF(Registro!D297&lt;&gt;"",D296+1,0)</f>
      </c>
      <c r="E297">
        <f>IF(Registro!E297&lt;&gt;"",E296+1,0)</f>
      </c>
      <c r="F297">
        <f>IF(Registro!F297&lt;&gt;"",F296+1,0)</f>
      </c>
      <c r="G297">
        <f>IF(Registro!G297&lt;&gt;"",G296+1,0)</f>
      </c>
    </row>
    <row r="298" spans="1:7" x14ac:dyDescent="0.25">
      <c r="A298" s="14">
        <v>46319.25</v>
      </c>
      <c r="B298">
        <f>IF(Registro!B298&lt;&gt;"",B297+1,0)</f>
      </c>
      <c r="C298">
        <f>IF(Registro!C298&lt;&gt;"",C297+1,0)</f>
      </c>
      <c r="D298">
        <f>IF(Registro!D298&lt;&gt;"",D297+1,0)</f>
      </c>
      <c r="E298">
        <f>IF(Registro!E298&lt;&gt;"",E297+1,0)</f>
      </c>
      <c r="F298">
        <f>IF(Registro!F298&lt;&gt;"",F297+1,0)</f>
      </c>
      <c r="G298">
        <f>IF(Registro!G298&lt;&gt;"",G297+1,0)</f>
      </c>
    </row>
    <row r="299" spans="1:7" x14ac:dyDescent="0.25">
      <c r="A299" s="14">
        <v>46320.25</v>
      </c>
      <c r="B299">
        <f>IF(Registro!B299&lt;&gt;"",B298+1,0)</f>
      </c>
      <c r="C299">
        <f>IF(Registro!C299&lt;&gt;"",C298+1,0)</f>
      </c>
      <c r="D299">
        <f>IF(Registro!D299&lt;&gt;"",D298+1,0)</f>
      </c>
      <c r="E299">
        <f>IF(Registro!E299&lt;&gt;"",E298+1,0)</f>
      </c>
      <c r="F299">
        <f>IF(Registro!F299&lt;&gt;"",F298+1,0)</f>
      </c>
      <c r="G299">
        <f>IF(Registro!G299&lt;&gt;"",G298+1,0)</f>
      </c>
    </row>
    <row r="300" spans="1:7" x14ac:dyDescent="0.25">
      <c r="A300" s="14">
        <v>46321.25</v>
      </c>
      <c r="B300">
        <f>IF(Registro!B300&lt;&gt;"",B299+1,0)</f>
      </c>
      <c r="C300">
        <f>IF(Registro!C300&lt;&gt;"",C299+1,0)</f>
      </c>
      <c r="D300">
        <f>IF(Registro!D300&lt;&gt;"",D299+1,0)</f>
      </c>
      <c r="E300">
        <f>IF(Registro!E300&lt;&gt;"",E299+1,0)</f>
      </c>
      <c r="F300">
        <f>IF(Registro!F300&lt;&gt;"",F299+1,0)</f>
      </c>
      <c r="G300">
        <f>IF(Registro!G300&lt;&gt;"",G299+1,0)</f>
      </c>
    </row>
    <row r="301" spans="1:7" x14ac:dyDescent="0.25">
      <c r="A301" s="14">
        <v>46322.25</v>
      </c>
      <c r="B301">
        <f>IF(Registro!B301&lt;&gt;"",B300+1,0)</f>
      </c>
      <c r="C301">
        <f>IF(Registro!C301&lt;&gt;"",C300+1,0)</f>
      </c>
      <c r="D301">
        <f>IF(Registro!D301&lt;&gt;"",D300+1,0)</f>
      </c>
      <c r="E301">
        <f>IF(Registro!E301&lt;&gt;"",E300+1,0)</f>
      </c>
      <c r="F301">
        <f>IF(Registro!F301&lt;&gt;"",F300+1,0)</f>
      </c>
      <c r="G301">
        <f>IF(Registro!G301&lt;&gt;"",G300+1,0)</f>
      </c>
    </row>
    <row r="302" spans="1:7" x14ac:dyDescent="0.25">
      <c r="A302" s="14">
        <v>46323.25</v>
      </c>
      <c r="B302">
        <f>IF(Registro!B302&lt;&gt;"",B301+1,0)</f>
      </c>
      <c r="C302">
        <f>IF(Registro!C302&lt;&gt;"",C301+1,0)</f>
      </c>
      <c r="D302">
        <f>IF(Registro!D302&lt;&gt;"",D301+1,0)</f>
      </c>
      <c r="E302">
        <f>IF(Registro!E302&lt;&gt;"",E301+1,0)</f>
      </c>
      <c r="F302">
        <f>IF(Registro!F302&lt;&gt;"",F301+1,0)</f>
      </c>
      <c r="G302">
        <f>IF(Registro!G302&lt;&gt;"",G301+1,0)</f>
      </c>
    </row>
    <row r="303" spans="1:7" x14ac:dyDescent="0.25">
      <c r="A303" s="14">
        <v>46324.25</v>
      </c>
      <c r="B303">
        <f>IF(Registro!B303&lt;&gt;"",B302+1,0)</f>
      </c>
      <c r="C303">
        <f>IF(Registro!C303&lt;&gt;"",C302+1,0)</f>
      </c>
      <c r="D303">
        <f>IF(Registro!D303&lt;&gt;"",D302+1,0)</f>
      </c>
      <c r="E303">
        <f>IF(Registro!E303&lt;&gt;"",E302+1,0)</f>
      </c>
      <c r="F303">
        <f>IF(Registro!F303&lt;&gt;"",F302+1,0)</f>
      </c>
      <c r="G303">
        <f>IF(Registro!G303&lt;&gt;"",G302+1,0)</f>
      </c>
    </row>
    <row r="304" spans="1:7" x14ac:dyDescent="0.25">
      <c r="A304" s="14">
        <v>46325.25</v>
      </c>
      <c r="B304">
        <f>IF(Registro!B304&lt;&gt;"",B303+1,0)</f>
      </c>
      <c r="C304">
        <f>IF(Registro!C304&lt;&gt;"",C303+1,0)</f>
      </c>
      <c r="D304">
        <f>IF(Registro!D304&lt;&gt;"",D303+1,0)</f>
      </c>
      <c r="E304">
        <f>IF(Registro!E304&lt;&gt;"",E303+1,0)</f>
      </c>
      <c r="F304">
        <f>IF(Registro!F304&lt;&gt;"",F303+1,0)</f>
      </c>
      <c r="G304">
        <f>IF(Registro!G304&lt;&gt;"",G303+1,0)</f>
      </c>
    </row>
    <row r="305" spans="1:7" x14ac:dyDescent="0.25">
      <c r="A305" s="14">
        <v>46326.25</v>
      </c>
      <c r="B305">
        <f>IF(Registro!B305&lt;&gt;"",B304+1,0)</f>
      </c>
      <c r="C305">
        <f>IF(Registro!C305&lt;&gt;"",C304+1,0)</f>
      </c>
      <c r="D305">
        <f>IF(Registro!D305&lt;&gt;"",D304+1,0)</f>
      </c>
      <c r="E305">
        <f>IF(Registro!E305&lt;&gt;"",E304+1,0)</f>
      </c>
      <c r="F305">
        <f>IF(Registro!F305&lt;&gt;"",F304+1,0)</f>
      </c>
      <c r="G305">
        <f>IF(Registro!G305&lt;&gt;"",G304+1,0)</f>
      </c>
    </row>
    <row r="306" spans="1:7" x14ac:dyDescent="0.25">
      <c r="A306" s="14">
        <v>46327.25</v>
      </c>
      <c r="B306">
        <f>IF(Registro!B306&lt;&gt;"",B305+1,0)</f>
      </c>
      <c r="C306">
        <f>IF(Registro!C306&lt;&gt;"",C305+1,0)</f>
      </c>
      <c r="D306">
        <f>IF(Registro!D306&lt;&gt;"",D305+1,0)</f>
      </c>
      <c r="E306">
        <f>IF(Registro!E306&lt;&gt;"",E305+1,0)</f>
      </c>
      <c r="F306">
        <f>IF(Registro!F306&lt;&gt;"",F305+1,0)</f>
      </c>
      <c r="G306">
        <f>IF(Registro!G306&lt;&gt;"",G305+1,0)</f>
      </c>
    </row>
    <row r="307" spans="1:7" x14ac:dyDescent="0.25">
      <c r="A307" s="14">
        <v>46328.25</v>
      </c>
      <c r="B307">
        <f>IF(Registro!B307&lt;&gt;"",B306+1,0)</f>
      </c>
      <c r="C307">
        <f>IF(Registro!C307&lt;&gt;"",C306+1,0)</f>
      </c>
      <c r="D307">
        <f>IF(Registro!D307&lt;&gt;"",D306+1,0)</f>
      </c>
      <c r="E307">
        <f>IF(Registro!E307&lt;&gt;"",E306+1,0)</f>
      </c>
      <c r="F307">
        <f>IF(Registro!F307&lt;&gt;"",F306+1,0)</f>
      </c>
      <c r="G307">
        <f>IF(Registro!G307&lt;&gt;"",G306+1,0)</f>
      </c>
    </row>
    <row r="308" spans="1:7" x14ac:dyDescent="0.25">
      <c r="A308" s="14">
        <v>46329.25</v>
      </c>
      <c r="B308">
        <f>IF(Registro!B308&lt;&gt;"",B307+1,0)</f>
      </c>
      <c r="C308">
        <f>IF(Registro!C308&lt;&gt;"",C307+1,0)</f>
      </c>
      <c r="D308">
        <f>IF(Registro!D308&lt;&gt;"",D307+1,0)</f>
      </c>
      <c r="E308">
        <f>IF(Registro!E308&lt;&gt;"",E307+1,0)</f>
      </c>
      <c r="F308">
        <f>IF(Registro!F308&lt;&gt;"",F307+1,0)</f>
      </c>
      <c r="G308">
        <f>IF(Registro!G308&lt;&gt;"",G307+1,0)</f>
      </c>
    </row>
    <row r="309" spans="1:7" x14ac:dyDescent="0.25">
      <c r="A309" s="14">
        <v>46330.25</v>
      </c>
      <c r="B309">
        <f>IF(Registro!B309&lt;&gt;"",B308+1,0)</f>
      </c>
      <c r="C309">
        <f>IF(Registro!C309&lt;&gt;"",C308+1,0)</f>
      </c>
      <c r="D309">
        <f>IF(Registro!D309&lt;&gt;"",D308+1,0)</f>
      </c>
      <c r="E309">
        <f>IF(Registro!E309&lt;&gt;"",E308+1,0)</f>
      </c>
      <c r="F309">
        <f>IF(Registro!F309&lt;&gt;"",F308+1,0)</f>
      </c>
      <c r="G309">
        <f>IF(Registro!G309&lt;&gt;"",G308+1,0)</f>
      </c>
    </row>
    <row r="310" spans="1:7" x14ac:dyDescent="0.25">
      <c r="A310" s="14">
        <v>46331.25</v>
      </c>
      <c r="B310">
        <f>IF(Registro!B310&lt;&gt;"",B309+1,0)</f>
      </c>
      <c r="C310">
        <f>IF(Registro!C310&lt;&gt;"",C309+1,0)</f>
      </c>
      <c r="D310">
        <f>IF(Registro!D310&lt;&gt;"",D309+1,0)</f>
      </c>
      <c r="E310">
        <f>IF(Registro!E310&lt;&gt;"",E309+1,0)</f>
      </c>
      <c r="F310">
        <f>IF(Registro!F310&lt;&gt;"",F309+1,0)</f>
      </c>
      <c r="G310">
        <f>IF(Registro!G310&lt;&gt;"",G309+1,0)</f>
      </c>
    </row>
    <row r="311" spans="1:7" x14ac:dyDescent="0.25">
      <c r="A311" s="14">
        <v>46332.25</v>
      </c>
      <c r="B311">
        <f>IF(Registro!B311&lt;&gt;"",B310+1,0)</f>
      </c>
      <c r="C311">
        <f>IF(Registro!C311&lt;&gt;"",C310+1,0)</f>
      </c>
      <c r="D311">
        <f>IF(Registro!D311&lt;&gt;"",D310+1,0)</f>
      </c>
      <c r="E311">
        <f>IF(Registro!E311&lt;&gt;"",E310+1,0)</f>
      </c>
      <c r="F311">
        <f>IF(Registro!F311&lt;&gt;"",F310+1,0)</f>
      </c>
      <c r="G311">
        <f>IF(Registro!G311&lt;&gt;"",G310+1,0)</f>
      </c>
    </row>
    <row r="312" spans="1:7" x14ac:dyDescent="0.25">
      <c r="A312" s="14">
        <v>46333.25</v>
      </c>
      <c r="B312">
        <f>IF(Registro!B312&lt;&gt;"",B311+1,0)</f>
      </c>
      <c r="C312">
        <f>IF(Registro!C312&lt;&gt;"",C311+1,0)</f>
      </c>
      <c r="D312">
        <f>IF(Registro!D312&lt;&gt;"",D311+1,0)</f>
      </c>
      <c r="E312">
        <f>IF(Registro!E312&lt;&gt;"",E311+1,0)</f>
      </c>
      <c r="F312">
        <f>IF(Registro!F312&lt;&gt;"",F311+1,0)</f>
      </c>
      <c r="G312">
        <f>IF(Registro!G312&lt;&gt;"",G311+1,0)</f>
      </c>
    </row>
    <row r="313" spans="1:7" x14ac:dyDescent="0.25">
      <c r="A313" s="14">
        <v>46334.25</v>
      </c>
      <c r="B313">
        <f>IF(Registro!B313&lt;&gt;"",B312+1,0)</f>
      </c>
      <c r="C313">
        <f>IF(Registro!C313&lt;&gt;"",C312+1,0)</f>
      </c>
      <c r="D313">
        <f>IF(Registro!D313&lt;&gt;"",D312+1,0)</f>
      </c>
      <c r="E313">
        <f>IF(Registro!E313&lt;&gt;"",E312+1,0)</f>
      </c>
      <c r="F313">
        <f>IF(Registro!F313&lt;&gt;"",F312+1,0)</f>
      </c>
      <c r="G313">
        <f>IF(Registro!G313&lt;&gt;"",G312+1,0)</f>
      </c>
    </row>
    <row r="314" spans="1:7" x14ac:dyDescent="0.25">
      <c r="A314" s="14">
        <v>46335.25</v>
      </c>
      <c r="B314">
        <f>IF(Registro!B314&lt;&gt;"",B313+1,0)</f>
      </c>
      <c r="C314">
        <f>IF(Registro!C314&lt;&gt;"",C313+1,0)</f>
      </c>
      <c r="D314">
        <f>IF(Registro!D314&lt;&gt;"",D313+1,0)</f>
      </c>
      <c r="E314">
        <f>IF(Registro!E314&lt;&gt;"",E313+1,0)</f>
      </c>
      <c r="F314">
        <f>IF(Registro!F314&lt;&gt;"",F313+1,0)</f>
      </c>
      <c r="G314">
        <f>IF(Registro!G314&lt;&gt;"",G313+1,0)</f>
      </c>
    </row>
    <row r="315" spans="1:7" x14ac:dyDescent="0.25">
      <c r="A315" s="14">
        <v>46336.25</v>
      </c>
      <c r="B315">
        <f>IF(Registro!B315&lt;&gt;"",B314+1,0)</f>
      </c>
      <c r="C315">
        <f>IF(Registro!C315&lt;&gt;"",C314+1,0)</f>
      </c>
      <c r="D315">
        <f>IF(Registro!D315&lt;&gt;"",D314+1,0)</f>
      </c>
      <c r="E315">
        <f>IF(Registro!E315&lt;&gt;"",E314+1,0)</f>
      </c>
      <c r="F315">
        <f>IF(Registro!F315&lt;&gt;"",F314+1,0)</f>
      </c>
      <c r="G315">
        <f>IF(Registro!G315&lt;&gt;"",G314+1,0)</f>
      </c>
    </row>
    <row r="316" spans="1:7" x14ac:dyDescent="0.25">
      <c r="A316" s="14">
        <v>46337.25</v>
      </c>
      <c r="B316">
        <f>IF(Registro!B316&lt;&gt;"",B315+1,0)</f>
      </c>
      <c r="C316">
        <f>IF(Registro!C316&lt;&gt;"",C315+1,0)</f>
      </c>
      <c r="D316">
        <f>IF(Registro!D316&lt;&gt;"",D315+1,0)</f>
      </c>
      <c r="E316">
        <f>IF(Registro!E316&lt;&gt;"",E315+1,0)</f>
      </c>
      <c r="F316">
        <f>IF(Registro!F316&lt;&gt;"",F315+1,0)</f>
      </c>
      <c r="G316">
        <f>IF(Registro!G316&lt;&gt;"",G315+1,0)</f>
      </c>
    </row>
    <row r="317" spans="1:7" x14ac:dyDescent="0.25">
      <c r="A317" s="14">
        <v>46338.25</v>
      </c>
      <c r="B317">
        <f>IF(Registro!B317&lt;&gt;"",B316+1,0)</f>
      </c>
      <c r="C317">
        <f>IF(Registro!C317&lt;&gt;"",C316+1,0)</f>
      </c>
      <c r="D317">
        <f>IF(Registro!D317&lt;&gt;"",D316+1,0)</f>
      </c>
      <c r="E317">
        <f>IF(Registro!E317&lt;&gt;"",E316+1,0)</f>
      </c>
      <c r="F317">
        <f>IF(Registro!F317&lt;&gt;"",F316+1,0)</f>
      </c>
      <c r="G317">
        <f>IF(Registro!G317&lt;&gt;"",G316+1,0)</f>
      </c>
    </row>
    <row r="318" spans="1:7" x14ac:dyDescent="0.25">
      <c r="A318" s="14">
        <v>46339.25</v>
      </c>
      <c r="B318">
        <f>IF(Registro!B318&lt;&gt;"",B317+1,0)</f>
      </c>
      <c r="C318">
        <f>IF(Registro!C318&lt;&gt;"",C317+1,0)</f>
      </c>
      <c r="D318">
        <f>IF(Registro!D318&lt;&gt;"",D317+1,0)</f>
      </c>
      <c r="E318">
        <f>IF(Registro!E318&lt;&gt;"",E317+1,0)</f>
      </c>
      <c r="F318">
        <f>IF(Registro!F318&lt;&gt;"",F317+1,0)</f>
      </c>
      <c r="G318">
        <f>IF(Registro!G318&lt;&gt;"",G317+1,0)</f>
      </c>
    </row>
    <row r="319" spans="1:7" x14ac:dyDescent="0.25">
      <c r="A319" s="14">
        <v>46340.25</v>
      </c>
      <c r="B319">
        <f>IF(Registro!B319&lt;&gt;"",B318+1,0)</f>
      </c>
      <c r="C319">
        <f>IF(Registro!C319&lt;&gt;"",C318+1,0)</f>
      </c>
      <c r="D319">
        <f>IF(Registro!D319&lt;&gt;"",D318+1,0)</f>
      </c>
      <c r="E319">
        <f>IF(Registro!E319&lt;&gt;"",E318+1,0)</f>
      </c>
      <c r="F319">
        <f>IF(Registro!F319&lt;&gt;"",F318+1,0)</f>
      </c>
      <c r="G319">
        <f>IF(Registro!G319&lt;&gt;"",G318+1,0)</f>
      </c>
    </row>
    <row r="320" spans="1:7" x14ac:dyDescent="0.25">
      <c r="A320" s="14">
        <v>46341.25</v>
      </c>
      <c r="B320">
        <f>IF(Registro!B320&lt;&gt;"",B319+1,0)</f>
      </c>
      <c r="C320">
        <f>IF(Registro!C320&lt;&gt;"",C319+1,0)</f>
      </c>
      <c r="D320">
        <f>IF(Registro!D320&lt;&gt;"",D319+1,0)</f>
      </c>
      <c r="E320">
        <f>IF(Registro!E320&lt;&gt;"",E319+1,0)</f>
      </c>
      <c r="F320">
        <f>IF(Registro!F320&lt;&gt;"",F319+1,0)</f>
      </c>
      <c r="G320">
        <f>IF(Registro!G320&lt;&gt;"",G319+1,0)</f>
      </c>
    </row>
    <row r="321" spans="1:7" x14ac:dyDescent="0.25">
      <c r="A321" s="14">
        <v>46342.25</v>
      </c>
      <c r="B321">
        <f>IF(Registro!B321&lt;&gt;"",B320+1,0)</f>
      </c>
      <c r="C321">
        <f>IF(Registro!C321&lt;&gt;"",C320+1,0)</f>
      </c>
      <c r="D321">
        <f>IF(Registro!D321&lt;&gt;"",D320+1,0)</f>
      </c>
      <c r="E321">
        <f>IF(Registro!E321&lt;&gt;"",E320+1,0)</f>
      </c>
      <c r="F321">
        <f>IF(Registro!F321&lt;&gt;"",F320+1,0)</f>
      </c>
      <c r="G321">
        <f>IF(Registro!G321&lt;&gt;"",G320+1,0)</f>
      </c>
    </row>
    <row r="322" spans="1:7" x14ac:dyDescent="0.25">
      <c r="A322" s="14">
        <v>46343.25</v>
      </c>
      <c r="B322">
        <f>IF(Registro!B322&lt;&gt;"",B321+1,0)</f>
      </c>
      <c r="C322">
        <f>IF(Registro!C322&lt;&gt;"",C321+1,0)</f>
      </c>
      <c r="D322">
        <f>IF(Registro!D322&lt;&gt;"",D321+1,0)</f>
      </c>
      <c r="E322">
        <f>IF(Registro!E322&lt;&gt;"",E321+1,0)</f>
      </c>
      <c r="F322">
        <f>IF(Registro!F322&lt;&gt;"",F321+1,0)</f>
      </c>
      <c r="G322">
        <f>IF(Registro!G322&lt;&gt;"",G321+1,0)</f>
      </c>
    </row>
    <row r="323" spans="1:7" x14ac:dyDescent="0.25">
      <c r="A323" s="14">
        <v>46344.25</v>
      </c>
      <c r="B323">
        <f>IF(Registro!B323&lt;&gt;"",B322+1,0)</f>
      </c>
      <c r="C323">
        <f>IF(Registro!C323&lt;&gt;"",C322+1,0)</f>
      </c>
      <c r="D323">
        <f>IF(Registro!D323&lt;&gt;"",D322+1,0)</f>
      </c>
      <c r="E323">
        <f>IF(Registro!E323&lt;&gt;"",E322+1,0)</f>
      </c>
      <c r="F323">
        <f>IF(Registro!F323&lt;&gt;"",F322+1,0)</f>
      </c>
      <c r="G323">
        <f>IF(Registro!G323&lt;&gt;"",G322+1,0)</f>
      </c>
    </row>
    <row r="324" spans="1:7" x14ac:dyDescent="0.25">
      <c r="A324" s="14">
        <v>46345.25</v>
      </c>
      <c r="B324">
        <f>IF(Registro!B324&lt;&gt;"",B323+1,0)</f>
      </c>
      <c r="C324">
        <f>IF(Registro!C324&lt;&gt;"",C323+1,0)</f>
      </c>
      <c r="D324">
        <f>IF(Registro!D324&lt;&gt;"",D323+1,0)</f>
      </c>
      <c r="E324">
        <f>IF(Registro!E324&lt;&gt;"",E323+1,0)</f>
      </c>
      <c r="F324">
        <f>IF(Registro!F324&lt;&gt;"",F323+1,0)</f>
      </c>
      <c r="G324">
        <f>IF(Registro!G324&lt;&gt;"",G323+1,0)</f>
      </c>
    </row>
    <row r="325" spans="1:7" x14ac:dyDescent="0.25">
      <c r="A325" s="14">
        <v>46346.25</v>
      </c>
      <c r="B325">
        <f>IF(Registro!B325&lt;&gt;"",B324+1,0)</f>
      </c>
      <c r="C325">
        <f>IF(Registro!C325&lt;&gt;"",C324+1,0)</f>
      </c>
      <c r="D325">
        <f>IF(Registro!D325&lt;&gt;"",D324+1,0)</f>
      </c>
      <c r="E325">
        <f>IF(Registro!E325&lt;&gt;"",E324+1,0)</f>
      </c>
      <c r="F325">
        <f>IF(Registro!F325&lt;&gt;"",F324+1,0)</f>
      </c>
      <c r="G325">
        <f>IF(Registro!G325&lt;&gt;"",G324+1,0)</f>
      </c>
    </row>
    <row r="326" spans="1:7" x14ac:dyDescent="0.25">
      <c r="A326" s="14">
        <v>46347.25</v>
      </c>
      <c r="B326">
        <f>IF(Registro!B326&lt;&gt;"",B325+1,0)</f>
      </c>
      <c r="C326">
        <f>IF(Registro!C326&lt;&gt;"",C325+1,0)</f>
      </c>
      <c r="D326">
        <f>IF(Registro!D326&lt;&gt;"",D325+1,0)</f>
      </c>
      <c r="E326">
        <f>IF(Registro!E326&lt;&gt;"",E325+1,0)</f>
      </c>
      <c r="F326">
        <f>IF(Registro!F326&lt;&gt;"",F325+1,0)</f>
      </c>
      <c r="G326">
        <f>IF(Registro!G326&lt;&gt;"",G325+1,0)</f>
      </c>
    </row>
    <row r="327" spans="1:7" x14ac:dyDescent="0.25">
      <c r="A327" s="14">
        <v>46348.25</v>
      </c>
      <c r="B327">
        <f>IF(Registro!B327&lt;&gt;"",B326+1,0)</f>
      </c>
      <c r="C327">
        <f>IF(Registro!C327&lt;&gt;"",C326+1,0)</f>
      </c>
      <c r="D327">
        <f>IF(Registro!D327&lt;&gt;"",D326+1,0)</f>
      </c>
      <c r="E327">
        <f>IF(Registro!E327&lt;&gt;"",E326+1,0)</f>
      </c>
      <c r="F327">
        <f>IF(Registro!F327&lt;&gt;"",F326+1,0)</f>
      </c>
      <c r="G327">
        <f>IF(Registro!G327&lt;&gt;"",G326+1,0)</f>
      </c>
    </row>
    <row r="328" spans="1:7" x14ac:dyDescent="0.25">
      <c r="A328" s="14">
        <v>46349.25</v>
      </c>
      <c r="B328">
        <f>IF(Registro!B328&lt;&gt;"",B327+1,0)</f>
      </c>
      <c r="C328">
        <f>IF(Registro!C328&lt;&gt;"",C327+1,0)</f>
      </c>
      <c r="D328">
        <f>IF(Registro!D328&lt;&gt;"",D327+1,0)</f>
      </c>
      <c r="E328">
        <f>IF(Registro!E328&lt;&gt;"",E327+1,0)</f>
      </c>
      <c r="F328">
        <f>IF(Registro!F328&lt;&gt;"",F327+1,0)</f>
      </c>
      <c r="G328">
        <f>IF(Registro!G328&lt;&gt;"",G327+1,0)</f>
      </c>
    </row>
    <row r="329" spans="1:7" x14ac:dyDescent="0.25">
      <c r="A329" s="14">
        <v>46350.25</v>
      </c>
      <c r="B329">
        <f>IF(Registro!B329&lt;&gt;"",B328+1,0)</f>
      </c>
      <c r="C329">
        <f>IF(Registro!C329&lt;&gt;"",C328+1,0)</f>
      </c>
      <c r="D329">
        <f>IF(Registro!D329&lt;&gt;"",D328+1,0)</f>
      </c>
      <c r="E329">
        <f>IF(Registro!E329&lt;&gt;"",E328+1,0)</f>
      </c>
      <c r="F329">
        <f>IF(Registro!F329&lt;&gt;"",F328+1,0)</f>
      </c>
      <c r="G329">
        <f>IF(Registro!G329&lt;&gt;"",G328+1,0)</f>
      </c>
    </row>
    <row r="330" spans="1:7" x14ac:dyDescent="0.25">
      <c r="A330" s="14">
        <v>46351.25</v>
      </c>
      <c r="B330">
        <f>IF(Registro!B330&lt;&gt;"",B329+1,0)</f>
      </c>
      <c r="C330">
        <f>IF(Registro!C330&lt;&gt;"",C329+1,0)</f>
      </c>
      <c r="D330">
        <f>IF(Registro!D330&lt;&gt;"",D329+1,0)</f>
      </c>
      <c r="E330">
        <f>IF(Registro!E330&lt;&gt;"",E329+1,0)</f>
      </c>
      <c r="F330">
        <f>IF(Registro!F330&lt;&gt;"",F329+1,0)</f>
      </c>
      <c r="G330">
        <f>IF(Registro!G330&lt;&gt;"",G329+1,0)</f>
      </c>
    </row>
    <row r="331" spans="1:7" x14ac:dyDescent="0.25">
      <c r="A331" s="14">
        <v>46352.25</v>
      </c>
      <c r="B331">
        <f>IF(Registro!B331&lt;&gt;"",B330+1,0)</f>
      </c>
      <c r="C331">
        <f>IF(Registro!C331&lt;&gt;"",C330+1,0)</f>
      </c>
      <c r="D331">
        <f>IF(Registro!D331&lt;&gt;"",D330+1,0)</f>
      </c>
      <c r="E331">
        <f>IF(Registro!E331&lt;&gt;"",E330+1,0)</f>
      </c>
      <c r="F331">
        <f>IF(Registro!F331&lt;&gt;"",F330+1,0)</f>
      </c>
      <c r="G331">
        <f>IF(Registro!G331&lt;&gt;"",G330+1,0)</f>
      </c>
    </row>
    <row r="332" spans="1:7" x14ac:dyDescent="0.25">
      <c r="A332" s="14">
        <v>46353.25</v>
      </c>
      <c r="B332">
        <f>IF(Registro!B332&lt;&gt;"",B331+1,0)</f>
      </c>
      <c r="C332">
        <f>IF(Registro!C332&lt;&gt;"",C331+1,0)</f>
      </c>
      <c r="D332">
        <f>IF(Registro!D332&lt;&gt;"",D331+1,0)</f>
      </c>
      <c r="E332">
        <f>IF(Registro!E332&lt;&gt;"",E331+1,0)</f>
      </c>
      <c r="F332">
        <f>IF(Registro!F332&lt;&gt;"",F331+1,0)</f>
      </c>
      <c r="G332">
        <f>IF(Registro!G332&lt;&gt;"",G331+1,0)</f>
      </c>
    </row>
    <row r="333" spans="1:7" x14ac:dyDescent="0.25">
      <c r="A333" s="14">
        <v>46354.25</v>
      </c>
      <c r="B333">
        <f>IF(Registro!B333&lt;&gt;"",B332+1,0)</f>
      </c>
      <c r="C333">
        <f>IF(Registro!C333&lt;&gt;"",C332+1,0)</f>
      </c>
      <c r="D333">
        <f>IF(Registro!D333&lt;&gt;"",D332+1,0)</f>
      </c>
      <c r="E333">
        <f>IF(Registro!E333&lt;&gt;"",E332+1,0)</f>
      </c>
      <c r="F333">
        <f>IF(Registro!F333&lt;&gt;"",F332+1,0)</f>
      </c>
      <c r="G333">
        <f>IF(Registro!G333&lt;&gt;"",G332+1,0)</f>
      </c>
    </row>
    <row r="334" spans="1:7" x14ac:dyDescent="0.25">
      <c r="A334" s="14">
        <v>46355.25</v>
      </c>
      <c r="B334">
        <f>IF(Registro!B334&lt;&gt;"",B333+1,0)</f>
      </c>
      <c r="C334">
        <f>IF(Registro!C334&lt;&gt;"",C333+1,0)</f>
      </c>
      <c r="D334">
        <f>IF(Registro!D334&lt;&gt;"",D333+1,0)</f>
      </c>
      <c r="E334">
        <f>IF(Registro!E334&lt;&gt;"",E333+1,0)</f>
      </c>
      <c r="F334">
        <f>IF(Registro!F334&lt;&gt;"",F333+1,0)</f>
      </c>
      <c r="G334">
        <f>IF(Registro!G334&lt;&gt;"",G333+1,0)</f>
      </c>
    </row>
    <row r="335" spans="1:7" x14ac:dyDescent="0.25">
      <c r="A335" s="14">
        <v>46356.25</v>
      </c>
      <c r="B335">
        <f>IF(Registro!B335&lt;&gt;"",B334+1,0)</f>
      </c>
      <c r="C335">
        <f>IF(Registro!C335&lt;&gt;"",C334+1,0)</f>
      </c>
      <c r="D335">
        <f>IF(Registro!D335&lt;&gt;"",D334+1,0)</f>
      </c>
      <c r="E335">
        <f>IF(Registro!E335&lt;&gt;"",E334+1,0)</f>
      </c>
      <c r="F335">
        <f>IF(Registro!F335&lt;&gt;"",F334+1,0)</f>
      </c>
      <c r="G335">
        <f>IF(Registro!G335&lt;&gt;"",G334+1,0)</f>
      </c>
    </row>
    <row r="336" spans="1:7" x14ac:dyDescent="0.25">
      <c r="A336" s="14">
        <v>46357.25</v>
      </c>
      <c r="B336">
        <f>IF(Registro!B336&lt;&gt;"",B335+1,0)</f>
      </c>
      <c r="C336">
        <f>IF(Registro!C336&lt;&gt;"",C335+1,0)</f>
      </c>
      <c r="D336">
        <f>IF(Registro!D336&lt;&gt;"",D335+1,0)</f>
      </c>
      <c r="E336">
        <f>IF(Registro!E336&lt;&gt;"",E335+1,0)</f>
      </c>
      <c r="F336">
        <f>IF(Registro!F336&lt;&gt;"",F335+1,0)</f>
      </c>
      <c r="G336">
        <f>IF(Registro!G336&lt;&gt;"",G335+1,0)</f>
      </c>
    </row>
    <row r="337" spans="1:7" x14ac:dyDescent="0.25">
      <c r="A337" s="14">
        <v>46358.25</v>
      </c>
      <c r="B337">
        <f>IF(Registro!B337&lt;&gt;"",B336+1,0)</f>
      </c>
      <c r="C337">
        <f>IF(Registro!C337&lt;&gt;"",C336+1,0)</f>
      </c>
      <c r="D337">
        <f>IF(Registro!D337&lt;&gt;"",D336+1,0)</f>
      </c>
      <c r="E337">
        <f>IF(Registro!E337&lt;&gt;"",E336+1,0)</f>
      </c>
      <c r="F337">
        <f>IF(Registro!F337&lt;&gt;"",F336+1,0)</f>
      </c>
      <c r="G337">
        <f>IF(Registro!G337&lt;&gt;"",G336+1,0)</f>
      </c>
    </row>
    <row r="338" spans="1:7" x14ac:dyDescent="0.25">
      <c r="A338" s="14">
        <v>46359.25</v>
      </c>
      <c r="B338">
        <f>IF(Registro!B338&lt;&gt;"",B337+1,0)</f>
      </c>
      <c r="C338">
        <f>IF(Registro!C338&lt;&gt;"",C337+1,0)</f>
      </c>
      <c r="D338">
        <f>IF(Registro!D338&lt;&gt;"",D337+1,0)</f>
      </c>
      <c r="E338">
        <f>IF(Registro!E338&lt;&gt;"",E337+1,0)</f>
      </c>
      <c r="F338">
        <f>IF(Registro!F338&lt;&gt;"",F337+1,0)</f>
      </c>
      <c r="G338">
        <f>IF(Registro!G338&lt;&gt;"",G337+1,0)</f>
      </c>
    </row>
    <row r="339" spans="1:7" x14ac:dyDescent="0.25">
      <c r="A339" s="14">
        <v>46360.25</v>
      </c>
      <c r="B339">
        <f>IF(Registro!B339&lt;&gt;"",B338+1,0)</f>
      </c>
      <c r="C339">
        <f>IF(Registro!C339&lt;&gt;"",C338+1,0)</f>
      </c>
      <c r="D339">
        <f>IF(Registro!D339&lt;&gt;"",D338+1,0)</f>
      </c>
      <c r="E339">
        <f>IF(Registro!E339&lt;&gt;"",E338+1,0)</f>
      </c>
      <c r="F339">
        <f>IF(Registro!F339&lt;&gt;"",F338+1,0)</f>
      </c>
      <c r="G339">
        <f>IF(Registro!G339&lt;&gt;"",G338+1,0)</f>
      </c>
    </row>
    <row r="340" spans="1:7" x14ac:dyDescent="0.25">
      <c r="A340" s="14">
        <v>46361.25</v>
      </c>
      <c r="B340">
        <f>IF(Registro!B340&lt;&gt;"",B339+1,0)</f>
      </c>
      <c r="C340">
        <f>IF(Registro!C340&lt;&gt;"",C339+1,0)</f>
      </c>
      <c r="D340">
        <f>IF(Registro!D340&lt;&gt;"",D339+1,0)</f>
      </c>
      <c r="E340">
        <f>IF(Registro!E340&lt;&gt;"",E339+1,0)</f>
      </c>
      <c r="F340">
        <f>IF(Registro!F340&lt;&gt;"",F339+1,0)</f>
      </c>
      <c r="G340">
        <f>IF(Registro!G340&lt;&gt;"",G339+1,0)</f>
      </c>
    </row>
    <row r="341" spans="1:7" x14ac:dyDescent="0.25">
      <c r="A341" s="14">
        <v>46362.25</v>
      </c>
      <c r="B341">
        <f>IF(Registro!B341&lt;&gt;"",B340+1,0)</f>
      </c>
      <c r="C341">
        <f>IF(Registro!C341&lt;&gt;"",C340+1,0)</f>
      </c>
      <c r="D341">
        <f>IF(Registro!D341&lt;&gt;"",D340+1,0)</f>
      </c>
      <c r="E341">
        <f>IF(Registro!E341&lt;&gt;"",E340+1,0)</f>
      </c>
      <c r="F341">
        <f>IF(Registro!F341&lt;&gt;"",F340+1,0)</f>
      </c>
      <c r="G341">
        <f>IF(Registro!G341&lt;&gt;"",G340+1,0)</f>
      </c>
    </row>
    <row r="342" spans="1:7" x14ac:dyDescent="0.25">
      <c r="A342" s="14">
        <v>46363.25</v>
      </c>
      <c r="B342">
        <f>IF(Registro!B342&lt;&gt;"",B341+1,0)</f>
      </c>
      <c r="C342">
        <f>IF(Registro!C342&lt;&gt;"",C341+1,0)</f>
      </c>
      <c r="D342">
        <f>IF(Registro!D342&lt;&gt;"",D341+1,0)</f>
      </c>
      <c r="E342">
        <f>IF(Registro!E342&lt;&gt;"",E341+1,0)</f>
      </c>
      <c r="F342">
        <f>IF(Registro!F342&lt;&gt;"",F341+1,0)</f>
      </c>
      <c r="G342">
        <f>IF(Registro!G342&lt;&gt;"",G341+1,0)</f>
      </c>
    </row>
    <row r="343" spans="1:7" x14ac:dyDescent="0.25">
      <c r="A343" s="14">
        <v>46364.25</v>
      </c>
      <c r="B343">
        <f>IF(Registro!B343&lt;&gt;"",B342+1,0)</f>
      </c>
      <c r="C343">
        <f>IF(Registro!C343&lt;&gt;"",C342+1,0)</f>
      </c>
      <c r="D343">
        <f>IF(Registro!D343&lt;&gt;"",D342+1,0)</f>
      </c>
      <c r="E343">
        <f>IF(Registro!E343&lt;&gt;"",E342+1,0)</f>
      </c>
      <c r="F343">
        <f>IF(Registro!F343&lt;&gt;"",F342+1,0)</f>
      </c>
      <c r="G343">
        <f>IF(Registro!G343&lt;&gt;"",G342+1,0)</f>
      </c>
    </row>
    <row r="344" spans="1:7" x14ac:dyDescent="0.25">
      <c r="A344" s="14">
        <v>46365.25</v>
      </c>
      <c r="B344">
        <f>IF(Registro!B344&lt;&gt;"",B343+1,0)</f>
      </c>
      <c r="C344">
        <f>IF(Registro!C344&lt;&gt;"",C343+1,0)</f>
      </c>
      <c r="D344">
        <f>IF(Registro!D344&lt;&gt;"",D343+1,0)</f>
      </c>
      <c r="E344">
        <f>IF(Registro!E344&lt;&gt;"",E343+1,0)</f>
      </c>
      <c r="F344">
        <f>IF(Registro!F344&lt;&gt;"",F343+1,0)</f>
      </c>
      <c r="G344">
        <f>IF(Registro!G344&lt;&gt;"",G343+1,0)</f>
      </c>
    </row>
    <row r="345" spans="1:7" x14ac:dyDescent="0.25">
      <c r="A345" s="14">
        <v>46366.25</v>
      </c>
      <c r="B345">
        <f>IF(Registro!B345&lt;&gt;"",B344+1,0)</f>
      </c>
      <c r="C345">
        <f>IF(Registro!C345&lt;&gt;"",C344+1,0)</f>
      </c>
      <c r="D345">
        <f>IF(Registro!D345&lt;&gt;"",D344+1,0)</f>
      </c>
      <c r="E345">
        <f>IF(Registro!E345&lt;&gt;"",E344+1,0)</f>
      </c>
      <c r="F345">
        <f>IF(Registro!F345&lt;&gt;"",F344+1,0)</f>
      </c>
      <c r="G345">
        <f>IF(Registro!G345&lt;&gt;"",G344+1,0)</f>
      </c>
    </row>
    <row r="346" spans="1:7" x14ac:dyDescent="0.25">
      <c r="A346" s="14">
        <v>46367.25</v>
      </c>
      <c r="B346">
        <f>IF(Registro!B346&lt;&gt;"",B345+1,0)</f>
      </c>
      <c r="C346">
        <f>IF(Registro!C346&lt;&gt;"",C345+1,0)</f>
      </c>
      <c r="D346">
        <f>IF(Registro!D346&lt;&gt;"",D345+1,0)</f>
      </c>
      <c r="E346">
        <f>IF(Registro!E346&lt;&gt;"",E345+1,0)</f>
      </c>
      <c r="F346">
        <f>IF(Registro!F346&lt;&gt;"",F345+1,0)</f>
      </c>
      <c r="G346">
        <f>IF(Registro!G346&lt;&gt;"",G345+1,0)</f>
      </c>
    </row>
    <row r="347" spans="1:7" x14ac:dyDescent="0.25">
      <c r="A347" s="14">
        <v>46368.25</v>
      </c>
      <c r="B347">
        <f>IF(Registro!B347&lt;&gt;"",B346+1,0)</f>
      </c>
      <c r="C347">
        <f>IF(Registro!C347&lt;&gt;"",C346+1,0)</f>
      </c>
      <c r="D347">
        <f>IF(Registro!D347&lt;&gt;"",D346+1,0)</f>
      </c>
      <c r="E347">
        <f>IF(Registro!E347&lt;&gt;"",E346+1,0)</f>
      </c>
      <c r="F347">
        <f>IF(Registro!F347&lt;&gt;"",F346+1,0)</f>
      </c>
      <c r="G347">
        <f>IF(Registro!G347&lt;&gt;"",G346+1,0)</f>
      </c>
    </row>
    <row r="348" spans="1:7" x14ac:dyDescent="0.25">
      <c r="A348" s="14">
        <v>46369.25</v>
      </c>
      <c r="B348">
        <f>IF(Registro!B348&lt;&gt;"",B347+1,0)</f>
      </c>
      <c r="C348">
        <f>IF(Registro!C348&lt;&gt;"",C347+1,0)</f>
      </c>
      <c r="D348">
        <f>IF(Registro!D348&lt;&gt;"",D347+1,0)</f>
      </c>
      <c r="E348">
        <f>IF(Registro!E348&lt;&gt;"",E347+1,0)</f>
      </c>
      <c r="F348">
        <f>IF(Registro!F348&lt;&gt;"",F347+1,0)</f>
      </c>
      <c r="G348">
        <f>IF(Registro!G348&lt;&gt;"",G347+1,0)</f>
      </c>
    </row>
    <row r="349" spans="1:7" x14ac:dyDescent="0.25">
      <c r="A349" s="14">
        <v>46370.25</v>
      </c>
      <c r="B349">
        <f>IF(Registro!B349&lt;&gt;"",B348+1,0)</f>
      </c>
      <c r="C349">
        <f>IF(Registro!C349&lt;&gt;"",C348+1,0)</f>
      </c>
      <c r="D349">
        <f>IF(Registro!D349&lt;&gt;"",D348+1,0)</f>
      </c>
      <c r="E349">
        <f>IF(Registro!E349&lt;&gt;"",E348+1,0)</f>
      </c>
      <c r="F349">
        <f>IF(Registro!F349&lt;&gt;"",F348+1,0)</f>
      </c>
      <c r="G349">
        <f>IF(Registro!G349&lt;&gt;"",G348+1,0)</f>
      </c>
    </row>
    <row r="350" spans="1:7" x14ac:dyDescent="0.25">
      <c r="A350" s="14">
        <v>46371.25</v>
      </c>
      <c r="B350">
        <f>IF(Registro!B350&lt;&gt;"",B349+1,0)</f>
      </c>
      <c r="C350">
        <f>IF(Registro!C350&lt;&gt;"",C349+1,0)</f>
      </c>
      <c r="D350">
        <f>IF(Registro!D350&lt;&gt;"",D349+1,0)</f>
      </c>
      <c r="E350">
        <f>IF(Registro!E350&lt;&gt;"",E349+1,0)</f>
      </c>
      <c r="F350">
        <f>IF(Registro!F350&lt;&gt;"",F349+1,0)</f>
      </c>
      <c r="G350">
        <f>IF(Registro!G350&lt;&gt;"",G349+1,0)</f>
      </c>
    </row>
    <row r="351" spans="1:7" x14ac:dyDescent="0.25">
      <c r="A351" s="14">
        <v>46372.25</v>
      </c>
      <c r="B351">
        <f>IF(Registro!B351&lt;&gt;"",B350+1,0)</f>
      </c>
      <c r="C351">
        <f>IF(Registro!C351&lt;&gt;"",C350+1,0)</f>
      </c>
      <c r="D351">
        <f>IF(Registro!D351&lt;&gt;"",D350+1,0)</f>
      </c>
      <c r="E351">
        <f>IF(Registro!E351&lt;&gt;"",E350+1,0)</f>
      </c>
      <c r="F351">
        <f>IF(Registro!F351&lt;&gt;"",F350+1,0)</f>
      </c>
      <c r="G351">
        <f>IF(Registro!G351&lt;&gt;"",G350+1,0)</f>
      </c>
    </row>
    <row r="352" spans="1:7" x14ac:dyDescent="0.25">
      <c r="A352" s="14">
        <v>46373.25</v>
      </c>
      <c r="B352">
        <f>IF(Registro!B352&lt;&gt;"",B351+1,0)</f>
      </c>
      <c r="C352">
        <f>IF(Registro!C352&lt;&gt;"",C351+1,0)</f>
      </c>
      <c r="D352">
        <f>IF(Registro!D352&lt;&gt;"",D351+1,0)</f>
      </c>
      <c r="E352">
        <f>IF(Registro!E352&lt;&gt;"",E351+1,0)</f>
      </c>
      <c r="F352">
        <f>IF(Registro!F352&lt;&gt;"",F351+1,0)</f>
      </c>
      <c r="G352">
        <f>IF(Registro!G352&lt;&gt;"",G351+1,0)</f>
      </c>
    </row>
    <row r="353" spans="1:7" x14ac:dyDescent="0.25">
      <c r="A353" s="14">
        <v>46374.25</v>
      </c>
      <c r="B353">
        <f>IF(Registro!B353&lt;&gt;"",B352+1,0)</f>
      </c>
      <c r="C353">
        <f>IF(Registro!C353&lt;&gt;"",C352+1,0)</f>
      </c>
      <c r="D353">
        <f>IF(Registro!D353&lt;&gt;"",D352+1,0)</f>
      </c>
      <c r="E353">
        <f>IF(Registro!E353&lt;&gt;"",E352+1,0)</f>
      </c>
      <c r="F353">
        <f>IF(Registro!F353&lt;&gt;"",F352+1,0)</f>
      </c>
      <c r="G353">
        <f>IF(Registro!G353&lt;&gt;"",G352+1,0)</f>
      </c>
    </row>
    <row r="354" spans="1:7" x14ac:dyDescent="0.25">
      <c r="A354" s="14">
        <v>46375.25</v>
      </c>
      <c r="B354">
        <f>IF(Registro!B354&lt;&gt;"",B353+1,0)</f>
      </c>
      <c r="C354">
        <f>IF(Registro!C354&lt;&gt;"",C353+1,0)</f>
      </c>
      <c r="D354">
        <f>IF(Registro!D354&lt;&gt;"",D353+1,0)</f>
      </c>
      <c r="E354">
        <f>IF(Registro!E354&lt;&gt;"",E353+1,0)</f>
      </c>
      <c r="F354">
        <f>IF(Registro!F354&lt;&gt;"",F353+1,0)</f>
      </c>
      <c r="G354">
        <f>IF(Registro!G354&lt;&gt;"",G353+1,0)</f>
      </c>
    </row>
    <row r="355" spans="1:7" x14ac:dyDescent="0.25">
      <c r="A355" s="14">
        <v>46376.25</v>
      </c>
      <c r="B355">
        <f>IF(Registro!B355&lt;&gt;"",B354+1,0)</f>
      </c>
      <c r="C355">
        <f>IF(Registro!C355&lt;&gt;"",C354+1,0)</f>
      </c>
      <c r="D355">
        <f>IF(Registro!D355&lt;&gt;"",D354+1,0)</f>
      </c>
      <c r="E355">
        <f>IF(Registro!E355&lt;&gt;"",E354+1,0)</f>
      </c>
      <c r="F355">
        <f>IF(Registro!F355&lt;&gt;"",F354+1,0)</f>
      </c>
      <c r="G355">
        <f>IF(Registro!G355&lt;&gt;"",G354+1,0)</f>
      </c>
    </row>
    <row r="356" spans="1:7" x14ac:dyDescent="0.25">
      <c r="A356" s="14">
        <v>46377.25</v>
      </c>
      <c r="B356">
        <f>IF(Registro!B356&lt;&gt;"",B355+1,0)</f>
      </c>
      <c r="C356">
        <f>IF(Registro!C356&lt;&gt;"",C355+1,0)</f>
      </c>
      <c r="D356">
        <f>IF(Registro!D356&lt;&gt;"",D355+1,0)</f>
      </c>
      <c r="E356">
        <f>IF(Registro!E356&lt;&gt;"",E355+1,0)</f>
      </c>
      <c r="F356">
        <f>IF(Registro!F356&lt;&gt;"",F355+1,0)</f>
      </c>
      <c r="G356">
        <f>IF(Registro!G356&lt;&gt;"",G355+1,0)</f>
      </c>
    </row>
    <row r="357" spans="1:7" x14ac:dyDescent="0.25">
      <c r="A357" s="14">
        <v>46378.25</v>
      </c>
      <c r="B357">
        <f>IF(Registro!B357&lt;&gt;"",B356+1,0)</f>
      </c>
      <c r="C357">
        <f>IF(Registro!C357&lt;&gt;"",C356+1,0)</f>
      </c>
      <c r="D357">
        <f>IF(Registro!D357&lt;&gt;"",D356+1,0)</f>
      </c>
      <c r="E357">
        <f>IF(Registro!E357&lt;&gt;"",E356+1,0)</f>
      </c>
      <c r="F357">
        <f>IF(Registro!F357&lt;&gt;"",F356+1,0)</f>
      </c>
      <c r="G357">
        <f>IF(Registro!G357&lt;&gt;"",G356+1,0)</f>
      </c>
    </row>
    <row r="358" spans="1:7" x14ac:dyDescent="0.25">
      <c r="A358" s="14">
        <v>46379.25</v>
      </c>
      <c r="B358">
        <f>IF(Registro!B358&lt;&gt;"",B357+1,0)</f>
      </c>
      <c r="C358">
        <f>IF(Registro!C358&lt;&gt;"",C357+1,0)</f>
      </c>
      <c r="D358">
        <f>IF(Registro!D358&lt;&gt;"",D357+1,0)</f>
      </c>
      <c r="E358">
        <f>IF(Registro!E358&lt;&gt;"",E357+1,0)</f>
      </c>
      <c r="F358">
        <f>IF(Registro!F358&lt;&gt;"",F357+1,0)</f>
      </c>
      <c r="G358">
        <f>IF(Registro!G358&lt;&gt;"",G357+1,0)</f>
      </c>
    </row>
    <row r="359" spans="1:7" x14ac:dyDescent="0.25">
      <c r="A359" s="14">
        <v>46380.25</v>
      </c>
      <c r="B359">
        <f>IF(Registro!B359&lt;&gt;"",B358+1,0)</f>
      </c>
      <c r="C359">
        <f>IF(Registro!C359&lt;&gt;"",C358+1,0)</f>
      </c>
      <c r="D359">
        <f>IF(Registro!D359&lt;&gt;"",D358+1,0)</f>
      </c>
      <c r="E359">
        <f>IF(Registro!E359&lt;&gt;"",E358+1,0)</f>
      </c>
      <c r="F359">
        <f>IF(Registro!F359&lt;&gt;"",F358+1,0)</f>
      </c>
      <c r="G359">
        <f>IF(Registro!G359&lt;&gt;"",G358+1,0)</f>
      </c>
    </row>
    <row r="360" spans="1:7" x14ac:dyDescent="0.25">
      <c r="A360" s="14">
        <v>46381.25</v>
      </c>
      <c r="B360">
        <f>IF(Registro!B360&lt;&gt;"",B359+1,0)</f>
      </c>
      <c r="C360">
        <f>IF(Registro!C360&lt;&gt;"",C359+1,0)</f>
      </c>
      <c r="D360">
        <f>IF(Registro!D360&lt;&gt;"",D359+1,0)</f>
      </c>
      <c r="E360">
        <f>IF(Registro!E360&lt;&gt;"",E359+1,0)</f>
      </c>
      <c r="F360">
        <f>IF(Registro!F360&lt;&gt;"",F359+1,0)</f>
      </c>
      <c r="G360">
        <f>IF(Registro!G360&lt;&gt;"",G359+1,0)</f>
      </c>
    </row>
    <row r="361" spans="1:7" x14ac:dyDescent="0.25">
      <c r="A361" s="14">
        <v>46382.25</v>
      </c>
      <c r="B361">
        <f>IF(Registro!B361&lt;&gt;"",B360+1,0)</f>
      </c>
      <c r="C361">
        <f>IF(Registro!C361&lt;&gt;"",C360+1,0)</f>
      </c>
      <c r="D361">
        <f>IF(Registro!D361&lt;&gt;"",D360+1,0)</f>
      </c>
      <c r="E361">
        <f>IF(Registro!E361&lt;&gt;"",E360+1,0)</f>
      </c>
      <c r="F361">
        <f>IF(Registro!F361&lt;&gt;"",F360+1,0)</f>
      </c>
      <c r="G361">
        <f>IF(Registro!G361&lt;&gt;"",G360+1,0)</f>
      </c>
    </row>
    <row r="362" spans="1:7" x14ac:dyDescent="0.25">
      <c r="A362" s="14">
        <v>46383.25</v>
      </c>
      <c r="B362">
        <f>IF(Registro!B362&lt;&gt;"",B361+1,0)</f>
      </c>
      <c r="C362">
        <f>IF(Registro!C362&lt;&gt;"",C361+1,0)</f>
      </c>
      <c r="D362">
        <f>IF(Registro!D362&lt;&gt;"",D361+1,0)</f>
      </c>
      <c r="E362">
        <f>IF(Registro!E362&lt;&gt;"",E361+1,0)</f>
      </c>
      <c r="F362">
        <f>IF(Registro!F362&lt;&gt;"",F361+1,0)</f>
      </c>
      <c r="G362">
        <f>IF(Registro!G362&lt;&gt;"",G361+1,0)</f>
      </c>
    </row>
    <row r="363" spans="1:7" x14ac:dyDescent="0.25">
      <c r="A363" s="14">
        <v>46384.25</v>
      </c>
      <c r="B363">
        <f>IF(Registro!B363&lt;&gt;"",B362+1,0)</f>
      </c>
      <c r="C363">
        <f>IF(Registro!C363&lt;&gt;"",C362+1,0)</f>
      </c>
      <c r="D363">
        <f>IF(Registro!D363&lt;&gt;"",D362+1,0)</f>
      </c>
      <c r="E363">
        <f>IF(Registro!E363&lt;&gt;"",E362+1,0)</f>
      </c>
      <c r="F363">
        <f>IF(Registro!F363&lt;&gt;"",F362+1,0)</f>
      </c>
      <c r="G363">
        <f>IF(Registro!G363&lt;&gt;"",G362+1,0)</f>
      </c>
    </row>
    <row r="364" spans="1:7" x14ac:dyDescent="0.25">
      <c r="A364" s="14">
        <v>46385.25</v>
      </c>
      <c r="B364">
        <f>IF(Registro!B364&lt;&gt;"",B363+1,0)</f>
      </c>
      <c r="C364">
        <f>IF(Registro!C364&lt;&gt;"",C363+1,0)</f>
      </c>
      <c r="D364">
        <f>IF(Registro!D364&lt;&gt;"",D363+1,0)</f>
      </c>
      <c r="E364">
        <f>IF(Registro!E364&lt;&gt;"",E363+1,0)</f>
      </c>
      <c r="F364">
        <f>IF(Registro!F364&lt;&gt;"",F363+1,0)</f>
      </c>
      <c r="G364">
        <f>IF(Registro!G364&lt;&gt;"",G363+1,0)</f>
      </c>
    </row>
    <row r="365" spans="1:7" x14ac:dyDescent="0.25">
      <c r="A365" s="14">
        <v>46386.25</v>
      </c>
      <c r="B365">
        <f>IF(Registro!B365&lt;&gt;"",B364+1,0)</f>
      </c>
      <c r="C365">
        <f>IF(Registro!C365&lt;&gt;"",C364+1,0)</f>
      </c>
      <c r="D365">
        <f>IF(Registro!D365&lt;&gt;"",D364+1,0)</f>
      </c>
      <c r="E365">
        <f>IF(Registro!E365&lt;&gt;"",E364+1,0)</f>
      </c>
      <c r="F365">
        <f>IF(Registro!F365&lt;&gt;"",F364+1,0)</f>
      </c>
      <c r="G365">
        <f>IF(Registro!G365&lt;&gt;"",G364+1,0)</f>
      </c>
    </row>
    <row r="366" spans="1:7" x14ac:dyDescent="0.25">
      <c r="A366" s="14">
        <v>46387.25</v>
      </c>
      <c r="B366">
        <f>IF(Registro!B366&lt;&gt;"",B365+1,0)</f>
      </c>
      <c r="C366">
        <f>IF(Registro!C366&lt;&gt;"",C365+1,0)</f>
      </c>
      <c r="D366">
        <f>IF(Registro!D366&lt;&gt;"",D365+1,0)</f>
      </c>
      <c r="E366">
        <f>IF(Registro!E366&lt;&gt;"",E365+1,0)</f>
      </c>
      <c r="F366">
        <f>IF(Registro!F366&lt;&gt;"",F365+1,0)</f>
      </c>
      <c r="G366">
        <f>IF(Registro!G366&lt;&gt;"",G365+1,0)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06CF0"/>
  </sheetPr>
  <dimension ref="A1:G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0" customHeight="1" spans="1:7" s="18" customFormat="1" x14ac:dyDescent="0.25">
      <c r="A1" s="19" t="s">
        <v>22</v>
      </c>
      <c r="B1" s="20" t="s">
        <v>14</v>
      </c>
      <c r="C1" s="21" t="s">
        <v>15</v>
      </c>
      <c r="D1" s="22" t="s">
        <v>16</v>
      </c>
      <c r="E1" s="23" t="s">
        <v>17</v>
      </c>
      <c r="F1" s="24" t="s">
        <v>18</v>
      </c>
      <c r="G1" s="25" t="s">
        <v>19</v>
      </c>
    </row>
    <row r="2" spans="1:7" s="26" customFormat="1" x14ac:dyDescent="0.25">
      <c r="A2" s="27" t="s">
        <v>23</v>
      </c>
      <c r="B2" s="28">
        <f>=COUNTA(Registro!B$2:B$366)</f>
      </c>
      <c r="C2" s="28">
        <f>=COUNTA(Registro!C$2:C$366)</f>
      </c>
      <c r="D2" s="28">
        <f>=COUNTA(Registro!D$2:D$366)</f>
      </c>
      <c r="E2" s="28">
        <f>=COUNTA(Registro!E$2:E$366)</f>
      </c>
      <c r="F2" s="28">
        <f>=COUNTA(Registro!F$2:F$366)</f>
      </c>
      <c r="G2" s="28">
        <f>=COUNTA(Registro!G$2:G$366)</f>
      </c>
    </row>
    <row r="3" spans="1:7" x14ac:dyDescent="0.25">
      <c r="A3" s="29" t="s">
        <v>24</v>
      </c>
      <c r="B3" s="15">
        <f>=COUNTIFS(Registro!$A$2:$A$366,"&gt;="&amp;DATE(YEAR(TODAY()),MONTH(TODAY()),1),Registro!B$2:B$366,"&lt;&gt;")</f>
      </c>
      <c r="C3" s="15">
        <f>=COUNTIFS(Registro!$A$2:$A$366,"&gt;="&amp;DATE(YEAR(TODAY()),MONTH(TODAY()),1),Registro!C$2:C$366,"&lt;&gt;")</f>
      </c>
      <c r="D3" s="15">
        <f>=COUNTIFS(Registro!$A$2:$A$366,"&gt;="&amp;DATE(YEAR(TODAY()),MONTH(TODAY()),1),Registro!D$2:D$366,"&lt;&gt;")</f>
      </c>
      <c r="E3" s="15">
        <f>=COUNTIFS(Registro!$A$2:$A$366,"&gt;="&amp;DATE(YEAR(TODAY()),MONTH(TODAY()),1),Registro!E$2:E$366,"&lt;&gt;")</f>
      </c>
      <c r="F3" s="15">
        <f>=COUNTIFS(Registro!$A$2:$A$366,"&gt;="&amp;DATE(YEAR(TODAY()),MONTH(TODAY()),1),Registro!F$2:F$366,"&lt;&gt;")</f>
      </c>
      <c r="G3" s="15">
        <f>=COUNTIFS(Registro!$A$2:$A$366,"&gt;="&amp;DATE(YEAR(TODAY()),MONTH(TODAY()),1),Registro!G$2:G$366,"&lt;&gt;")</f>
      </c>
    </row>
    <row r="4" spans="1:7" s="26" customFormat="1" x14ac:dyDescent="0.25">
      <c r="A4" s="27" t="s">
        <v>25</v>
      </c>
      <c r="B4" s="28">
        <f>=COUNTIFS(Registro!$A$2:$A$366,"&gt;="&amp;(TODAY()-6),Registro!B$2:B$366,"&lt;&gt;")</f>
      </c>
      <c r="C4" s="28">
        <f>=COUNTIFS(Registro!$A$2:$A$366,"&gt;="&amp;(TODAY()-6),Registro!C$2:C$366,"&lt;&gt;")</f>
      </c>
      <c r="D4" s="28">
        <f>=COUNTIFS(Registro!$A$2:$A$366,"&gt;="&amp;(TODAY()-6),Registro!D$2:D$366,"&lt;&gt;")</f>
      </c>
      <c r="E4" s="28">
        <f>=COUNTIFS(Registro!$A$2:$A$366,"&gt;="&amp;(TODAY()-6),Registro!E$2:E$366,"&lt;&gt;")</f>
      </c>
      <c r="F4" s="28">
        <f>=COUNTIFS(Registro!$A$2:$A$366,"&gt;="&amp;(TODAY()-6),Registro!F$2:F$366,"&lt;&gt;")</f>
      </c>
      <c r="G4" s="28">
        <f>=COUNTIFS(Registro!$A$2:$A$366,"&gt;="&amp;(TODAY()-6),Registro!G$2:G$366,"&lt;&gt;")</f>
      </c>
    </row>
    <row r="5" spans="1:7" x14ac:dyDescent="0.25">
      <c r="A5" s="29" t="s">
        <v>26</v>
      </c>
      <c r="B5" s="16">
        <f>=IFERROR(B2/(TODAY()-DATE(YEAR(TODAY()),1,1)+1),0)</f>
      </c>
      <c r="C5" s="16">
        <f>=IFERROR(C2/(TODAY()-DATE(YEAR(TODAY()),1,1)+1),0)</f>
      </c>
      <c r="D5" s="16">
        <f>=IFERROR(D2/(TODAY()-DATE(YEAR(TODAY()),1,1)+1),0)</f>
      </c>
      <c r="E5" s="16">
        <f>=IFERROR(E2/(TODAY()-DATE(YEAR(TODAY()),1,1)+1),0)</f>
      </c>
      <c r="F5" s="16">
        <f>=IFERROR(F2/(TODAY()-DATE(YEAR(TODAY()),1,1)+1),0)</f>
      </c>
      <c r="G5" s="16">
        <f>=IFERROR(G2/(TODAY()-DATE(YEAR(TODAY()),1,1)+1),0)</f>
      </c>
    </row>
    <row r="6" spans="1:7" s="30" customFormat="1" x14ac:dyDescent="0.25">
      <c r="A6" s="30" t="s">
        <v>27</v>
      </c>
      <c r="B6" s="31">
        <f>=IFERROR(IF(INDEX(Aux!B:B,MATCH(TODAY(),Aux!$A$2:$A$366,0))&gt;0,INDEX(Aux!B:B,MATCH(TODAY(),Aux!$A$2:$A$366,0)),INDEX(Aux!B:B,MATCH(TODAY(),Aux!$A$2:$A$366,0)-1)),0)</f>
      </c>
      <c r="C6" s="31">
        <f>=IFERROR(IF(INDEX(Aux!C:C,MATCH(TODAY(),Aux!$A$2:$A$366,0))&gt;0,INDEX(Aux!C:C,MATCH(TODAY(),Aux!$A$2:$A$366,0)),INDEX(Aux!C:C,MATCH(TODAY(),Aux!$A$2:$A$366,0)-1)),0)</f>
      </c>
      <c r="D6" s="31">
        <f>=IFERROR(IF(INDEX(Aux!D:D,MATCH(TODAY(),Aux!$A$2:$A$366,0))&gt;0,INDEX(Aux!D:D,MATCH(TODAY(),Aux!$A$2:$A$366,0)),INDEX(Aux!D:D,MATCH(TODAY(),Aux!$A$2:$A$366,0)-1)),0)</f>
      </c>
      <c r="E6" s="31">
        <f>=IFERROR(IF(INDEX(Aux!E:E,MATCH(TODAY(),Aux!$A$2:$A$366,0))&gt;0,INDEX(Aux!E:E,MATCH(TODAY(),Aux!$A$2:$A$366,0)),INDEX(Aux!E:E,MATCH(TODAY(),Aux!$A$2:$A$366,0)-1)),0)</f>
      </c>
      <c r="F6" s="31">
        <f>=IFERROR(IF(INDEX(Aux!F:F,MATCH(TODAY(),Aux!$A$2:$A$366,0))&gt;0,INDEX(Aux!F:F,MATCH(TODAY(),Aux!$A$2:$A$366,0)),INDEX(Aux!F:F,MATCH(TODAY(),Aux!$A$2:$A$366,0)-1)),0)</f>
      </c>
      <c r="G6" s="31">
        <f>=IFERROR(IF(INDEX(Aux!G:G,MATCH(TODAY(),Aux!$A$2:$A$366,0))&gt;0,INDEX(Aux!G:G,MATCH(TODAY(),Aux!$A$2:$A$366,0)),INDEX(Aux!G:G,MATCH(TODAY(),Aux!$A$2:$A$366,0)-1)),0)</f>
      </c>
    </row>
    <row r="7" spans="1:7" x14ac:dyDescent="0.25">
      <c r="A7" s="29" t="s">
        <v>28</v>
      </c>
      <c r="B7" s="15">
        <f>=MAX(Aux!B$2:B$366)</f>
      </c>
      <c r="C7" s="15">
        <f>=MAX(Aux!C$2:C$366)</f>
      </c>
      <c r="D7" s="15">
        <f>=MAX(Aux!D$2:D$366)</f>
      </c>
      <c r="E7" s="15">
        <f>=MAX(Aux!E$2:E$366)</f>
      </c>
      <c r="F7" s="15">
        <f>=MAX(Aux!F$2:F$366)</f>
      </c>
      <c r="G7" s="15">
        <f>=MAX(Aux!G$2:G$366)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D07A"/>
  </sheetPr>
  <dimension ref="A1:B1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</cols>
  <sheetData>
    <row r="1" ht="40" customHeight="1" spans="1:2" x14ac:dyDescent="0.25">
      <c r="A1" s="32" t="s">
        <v>29</v>
      </c>
      <c r="B1" s="32"/>
    </row>
    <row r="3" ht="30" customHeight="1" spans="1:2" x14ac:dyDescent="0.25">
      <c r="A3" s="33" t="s">
        <v>30</v>
      </c>
      <c r="B3" s="34">
        <f>=IFERROR(VLOOKUP(TODAY(),Registro!$A$2:$H$366,8,0),0)</f>
      </c>
    </row>
    <row r="5" ht="30" customHeight="1" spans="1:2" x14ac:dyDescent="0.25">
      <c r="A5" s="33" t="s">
        <v>31</v>
      </c>
      <c r="B5" s="35">
        <f>=IFERROR(VLOOKUP(TODAY(),Registro!$A$2:$I$366,9,0),0)</f>
      </c>
    </row>
    <row r="7" ht="30" customHeight="1" spans="1:2" x14ac:dyDescent="0.25">
      <c r="A7" s="33" t="s">
        <v>32</v>
      </c>
      <c r="B7" s="36">
        <f>=MAX(Estadísticas!B6:G6)</f>
      </c>
    </row>
    <row r="9" ht="30" customHeight="1" spans="1:2" x14ac:dyDescent="0.25">
      <c r="A9" s="33" t="s">
        <v>28</v>
      </c>
      <c r="B9" s="37">
        <f>=MAX(Estadísticas!B7:G7)</f>
      </c>
    </row>
    <row r="11" ht="30" customHeight="1" spans="1:2" x14ac:dyDescent="0.25">
      <c r="A11" s="33" t="s">
        <v>33</v>
      </c>
      <c r="B11" s="38">
        <f>=SUM(Estadísticas!B2:G2)</f>
      </c>
    </row>
    <row r="13" ht="30" customHeight="1" spans="1:2" x14ac:dyDescent="0.25">
      <c r="A13" s="33" t="s">
        <v>34</v>
      </c>
      <c r="B13" s="39">
        <f>=COUNTIF(Registro!$H$2:$H$366,"&gt;0")</f>
      </c>
    </row>
    <row r="15" ht="30" customHeight="1" spans="1:2" x14ac:dyDescent="0.25">
      <c r="A15" s="33" t="s">
        <v>35</v>
      </c>
      <c r="B15" s="40">
        <f>=INT(SQRT(B8/10))+1</f>
      </c>
    </row>
    <row r="17" spans="1:1" x14ac:dyDescent="0.25">
      <c r="A17" s="41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A3FF"/>
  </sheetPr>
  <dimension ref="A1:G22"/>
  <sheetViews>
    <sheetView workbookViewId="0"/>
  </sheetViews>
  <sheetFormatPr defaultRowHeight="15" outlineLevelRow="0" outlineLevelCol="0" x14ac:dyDescent="55"/>
  <cols>
    <col min="1" max="7" width="14" customWidth="1"/>
  </cols>
  <sheetData>
    <row r="1" ht="32" customHeight="1" spans="1:7" x14ac:dyDescent="0.25">
      <c r="A1" s="42" t="s">
        <v>37</v>
      </c>
      <c r="B1" s="42"/>
      <c r="C1" s="42"/>
      <c r="D1" s="42"/>
      <c r="E1" s="42"/>
      <c r="F1" s="42"/>
      <c r="G1" s="42"/>
    </row>
    <row r="2" spans="1:7" x14ac:dyDescent="0.25">
      <c r="A2" s="43" t="s">
        <v>38</v>
      </c>
      <c r="B2" s="43" t="s">
        <v>39</v>
      </c>
      <c r="C2" s="43" t="s">
        <v>40</v>
      </c>
      <c r="D2" s="43" t="s">
        <v>41</v>
      </c>
      <c r="E2" s="43" t="s">
        <v>42</v>
      </c>
      <c r="F2" s="43" t="s">
        <v>43</v>
      </c>
      <c r="G2" s="43" t="s">
        <v>44</v>
      </c>
    </row>
    <row r="3" spans="4:7" x14ac:dyDescent="0.25">
      <c r="D3" s="44">
        <v>1</v>
      </c>
      <c r="E3" s="44">
        <v>2</v>
      </c>
      <c r="F3" s="44">
        <v>3</v>
      </c>
      <c r="G3" s="44">
        <v>4</v>
      </c>
    </row>
    <row r="4" spans="1:7" x14ac:dyDescent="0.25">
      <c r="A4" s="44">
        <v>5</v>
      </c>
      <c r="B4" s="44">
        <v>6</v>
      </c>
      <c r="C4" s="44">
        <v>7</v>
      </c>
      <c r="D4" s="44">
        <v>8</v>
      </c>
      <c r="E4" s="44">
        <v>9</v>
      </c>
      <c r="F4" s="44">
        <v>10</v>
      </c>
      <c r="G4" s="44">
        <v>11</v>
      </c>
    </row>
    <row r="5" spans="1:7" x14ac:dyDescent="0.25">
      <c r="A5" s="44">
        <v>12</v>
      </c>
      <c r="B5" s="44">
        <v>13</v>
      </c>
      <c r="C5" s="44">
        <v>14</v>
      </c>
      <c r="D5" s="44">
        <v>15</v>
      </c>
      <c r="E5" s="44">
        <v>16</v>
      </c>
      <c r="F5" s="44">
        <v>17</v>
      </c>
      <c r="G5" s="44">
        <v>18</v>
      </c>
    </row>
    <row r="6" spans="1:7" x14ac:dyDescent="0.25">
      <c r="A6" s="44">
        <v>19</v>
      </c>
      <c r="B6" s="44">
        <v>20</v>
      </c>
      <c r="C6" s="44">
        <v>21</v>
      </c>
      <c r="D6" s="44">
        <v>22</v>
      </c>
      <c r="E6" s="44">
        <v>23</v>
      </c>
      <c r="F6" s="44">
        <v>24</v>
      </c>
      <c r="G6" s="44">
        <v>25</v>
      </c>
    </row>
    <row r="7" spans="1:6" x14ac:dyDescent="0.25">
      <c r="A7" s="44">
        <v>26</v>
      </c>
      <c r="B7" s="44">
        <v>27</v>
      </c>
      <c r="C7" s="44">
        <v>28</v>
      </c>
      <c r="D7" s="44">
        <v>29</v>
      </c>
      <c r="E7" s="44">
        <v>30</v>
      </c>
      <c r="F7" s="44">
        <v>31</v>
      </c>
    </row>
    <row r="9" spans="1:7" x14ac:dyDescent="0.25">
      <c r="A9" s="45" t="s">
        <v>45</v>
      </c>
      <c r="B9" s="45"/>
      <c r="C9" s="45"/>
      <c r="D9" s="45"/>
      <c r="E9" s="45"/>
      <c r="F9" s="45"/>
      <c r="G9" s="45"/>
    </row>
    <row r="10" spans="1:7" x14ac:dyDescent="0.25">
      <c r="A10" s="20" t="s">
        <v>13</v>
      </c>
      <c r="B10" s="20" t="s">
        <v>46</v>
      </c>
      <c r="C10" s="20" t="s">
        <v>47</v>
      </c>
      <c r="D10" s="20" t="s">
        <v>48</v>
      </c>
      <c r="E10" s="20" t="s">
        <v>2</v>
      </c>
      <c r="F10" s="20" t="s">
        <v>2</v>
      </c>
      <c r="G10" s="20" t="s">
        <v>2</v>
      </c>
    </row>
    <row r="11" spans="1:3" x14ac:dyDescent="0.25">
      <c r="A11" s="14">
        <v>46310.25</v>
      </c>
      <c r="B11" t="s">
        <v>49</v>
      </c>
      <c r="C11" t="s">
        <v>50</v>
      </c>
    </row>
    <row r="12" spans="1:3" x14ac:dyDescent="0.25">
      <c r="A12" s="14">
        <v>46315.25</v>
      </c>
      <c r="B12" t="s">
        <v>51</v>
      </c>
      <c r="C12" t="s">
        <v>52</v>
      </c>
    </row>
    <row r="13" spans="1:1" x14ac:dyDescent="0.25">
      <c r="A13" s="14"/>
    </row>
    <row r="14" spans="1:1" x14ac:dyDescent="0.25">
      <c r="A14" s="14"/>
    </row>
    <row r="15" spans="1:1" x14ac:dyDescent="0.25">
      <c r="A15" s="14"/>
    </row>
    <row r="16" spans="1:1" x14ac:dyDescent="0.25">
      <c r="A16" s="14"/>
    </row>
    <row r="17" spans="1:1" x14ac:dyDescent="0.25">
      <c r="A17" s="14"/>
    </row>
    <row r="18" spans="1:1" x14ac:dyDescent="0.25">
      <c r="A18" s="14"/>
    </row>
    <row r="19" spans="1:1" x14ac:dyDescent="0.25">
      <c r="A19" s="14"/>
    </row>
    <row r="20" spans="1:1" x14ac:dyDescent="0.25">
      <c r="A20" s="14"/>
    </row>
    <row r="21" spans="1:1" x14ac:dyDescent="0.25">
      <c r="A21" s="14"/>
    </row>
    <row r="22" spans="1:1" x14ac:dyDescent="0.25">
      <c r="A22" s="14"/>
    </row>
  </sheetData>
  <mergeCells count="2">
    <mergeCell ref="A1:G1"/>
    <mergeCell ref="A9:G9"/>
  </mergeCells>
  <conditionalFormatting sqref="D3">
    <cfRule type="expression" dxfId="2" priority="1">
      <formula>VLOOKUP(DATE(2026,10,1),Registro!$A$2:$H$366,8,0)&gt;0</formula>
    </cfRule>
  </conditionalFormatting>
  <conditionalFormatting sqref="E3">
    <cfRule type="expression" dxfId="3" priority="2">
      <formula>VLOOKUP(DATE(2026,10,2),Registro!$A$2:$H$366,8,0)&gt;0</formula>
    </cfRule>
  </conditionalFormatting>
  <conditionalFormatting sqref="F3">
    <cfRule type="expression" dxfId="4" priority="3">
      <formula>VLOOKUP(DATE(2026,10,3),Registro!$A$2:$H$366,8,0)&gt;0</formula>
    </cfRule>
  </conditionalFormatting>
  <conditionalFormatting sqref="G3">
    <cfRule type="expression" dxfId="5" priority="4">
      <formula>VLOOKUP(DATE(2026,10,4),Registro!$A$2:$H$366,8,0)&gt;0</formula>
    </cfRule>
  </conditionalFormatting>
  <conditionalFormatting sqref="A4">
    <cfRule type="expression" dxfId="6" priority="5">
      <formula>VLOOKUP(DATE(2026,10,5),Registro!$A$2:$H$366,8,0)&gt;0</formula>
    </cfRule>
  </conditionalFormatting>
  <conditionalFormatting sqref="B4">
    <cfRule type="expression" dxfId="7" priority="6">
      <formula>VLOOKUP(DATE(2026,10,6),Registro!$A$2:$H$366,8,0)&gt;0</formula>
    </cfRule>
  </conditionalFormatting>
  <conditionalFormatting sqref="C4">
    <cfRule type="expression" dxfId="8" priority="7">
      <formula>VLOOKUP(DATE(2026,10,7),Registro!$A$2:$H$366,8,0)&gt;0</formula>
    </cfRule>
  </conditionalFormatting>
  <conditionalFormatting sqref="D4">
    <cfRule type="expression" dxfId="9" priority="8">
      <formula>VLOOKUP(DATE(2026,10,8),Registro!$A$2:$H$366,8,0)&gt;0</formula>
    </cfRule>
  </conditionalFormatting>
  <conditionalFormatting sqref="E4">
    <cfRule type="expression" dxfId="10" priority="9">
      <formula>VLOOKUP(DATE(2026,10,9),Registro!$A$2:$H$366,8,0)&gt;0</formula>
    </cfRule>
  </conditionalFormatting>
  <conditionalFormatting sqref="F4">
    <cfRule type="expression" dxfId="11" priority="10">
      <formula>VLOOKUP(DATE(2026,10,10),Registro!$A$2:$H$366,8,0)&gt;0</formula>
    </cfRule>
  </conditionalFormatting>
  <conditionalFormatting sqref="G4">
    <cfRule type="expression" dxfId="12" priority="11">
      <formula>VLOOKUP(DATE(2026,10,11),Registro!$A$2:$H$366,8,0)&gt;0</formula>
    </cfRule>
  </conditionalFormatting>
  <conditionalFormatting sqref="A5">
    <cfRule type="expression" dxfId="13" priority="12">
      <formula>VLOOKUP(DATE(2026,10,12),Registro!$A$2:$H$366,8,0)&gt;0</formula>
    </cfRule>
  </conditionalFormatting>
  <conditionalFormatting sqref="B5">
    <cfRule type="expression" dxfId="14" priority="13">
      <formula>VLOOKUP(DATE(2026,10,13),Registro!$A$2:$H$366,8,0)&gt;0</formula>
    </cfRule>
  </conditionalFormatting>
  <conditionalFormatting sqref="C5">
    <cfRule type="expression" dxfId="15" priority="14">
      <formula>VLOOKUP(DATE(2026,10,14),Registro!$A$2:$H$366,8,0)&gt;0</formula>
    </cfRule>
  </conditionalFormatting>
  <conditionalFormatting sqref="D5">
    <cfRule type="expression" dxfId="16" priority="15">
      <formula>VLOOKUP(DATE(2026,10,15),Registro!$A$2:$H$366,8,0)&gt;0</formula>
    </cfRule>
  </conditionalFormatting>
  <conditionalFormatting sqref="E5">
    <cfRule type="expression" dxfId="17" priority="16">
      <formula>VLOOKUP(DATE(2026,10,16),Registro!$A$2:$H$366,8,0)&gt;0</formula>
    </cfRule>
  </conditionalFormatting>
  <conditionalFormatting sqref="F5">
    <cfRule type="expression" dxfId="18" priority="17">
      <formula>VLOOKUP(DATE(2026,10,17),Registro!$A$2:$H$366,8,0)&gt;0</formula>
    </cfRule>
  </conditionalFormatting>
  <conditionalFormatting sqref="G5">
    <cfRule type="expression" dxfId="19" priority="18">
      <formula>VLOOKUP(DATE(2026,10,18),Registro!$A$2:$H$366,8,0)&gt;0</formula>
    </cfRule>
  </conditionalFormatting>
  <conditionalFormatting sqref="A6">
    <cfRule type="expression" dxfId="20" priority="19">
      <formula>VLOOKUP(DATE(2026,10,19),Registro!$A$2:$H$366,8,0)&gt;0</formula>
    </cfRule>
  </conditionalFormatting>
  <conditionalFormatting sqref="B6">
    <cfRule type="expression" dxfId="21" priority="20">
      <formula>VLOOKUP(DATE(2026,10,20),Registro!$A$2:$H$366,8,0)&gt;0</formula>
    </cfRule>
  </conditionalFormatting>
  <conditionalFormatting sqref="C6">
    <cfRule type="expression" dxfId="22" priority="21">
      <formula>VLOOKUP(DATE(2026,10,21),Registro!$A$2:$H$366,8,0)&gt;0</formula>
    </cfRule>
  </conditionalFormatting>
  <conditionalFormatting sqref="D6">
    <cfRule type="expression" dxfId="23" priority="22">
      <formula>VLOOKUP(DATE(2026,10,22),Registro!$A$2:$H$366,8,0)&gt;0</formula>
    </cfRule>
  </conditionalFormatting>
  <conditionalFormatting sqref="E6">
    <cfRule type="expression" dxfId="24" priority="23">
      <formula>VLOOKUP(DATE(2026,10,23),Registro!$A$2:$H$366,8,0)&gt;0</formula>
    </cfRule>
  </conditionalFormatting>
  <conditionalFormatting sqref="F6">
    <cfRule type="expression" dxfId="25" priority="24">
      <formula>VLOOKUP(DATE(2026,10,24),Registro!$A$2:$H$366,8,0)&gt;0</formula>
    </cfRule>
  </conditionalFormatting>
  <conditionalFormatting sqref="G6">
    <cfRule type="expression" dxfId="26" priority="25">
      <formula>VLOOKUP(DATE(2026,10,25),Registro!$A$2:$H$366,8,0)&gt;0</formula>
    </cfRule>
  </conditionalFormatting>
  <conditionalFormatting sqref="A7">
    <cfRule type="expression" dxfId="27" priority="26">
      <formula>VLOOKUP(DATE(2026,10,26),Registro!$A$2:$H$366,8,0)&gt;0</formula>
    </cfRule>
  </conditionalFormatting>
  <conditionalFormatting sqref="B7">
    <cfRule type="expression" dxfId="28" priority="27">
      <formula>VLOOKUP(DATE(2026,10,27),Registro!$A$2:$H$366,8,0)&gt;0</formula>
    </cfRule>
  </conditionalFormatting>
  <conditionalFormatting sqref="C7">
    <cfRule type="expression" dxfId="29" priority="28">
      <formula>VLOOKUP(DATE(2026,10,28),Registro!$A$2:$H$366,8,0)&gt;0</formula>
    </cfRule>
  </conditionalFormatting>
  <conditionalFormatting sqref="D7">
    <cfRule type="expression" dxfId="30" priority="29">
      <formula>VLOOKUP(DATE(2026,10,29),Registro!$A$2:$H$366,8,0)&gt;0</formula>
    </cfRule>
  </conditionalFormatting>
  <conditionalFormatting sqref="E7">
    <cfRule type="expression" dxfId="31" priority="30">
      <formula>VLOOKUP(DATE(2026,10,30),Registro!$A$2:$H$366,8,0)&gt;0</formula>
    </cfRule>
  </conditionalFormatting>
  <conditionalFormatting sqref="F7">
    <cfRule type="expression" dxfId="32" priority="31">
      <formula>VLOOKUP(DATE(2026,10,31),Registro!$A$2:$H$366,8,0)&gt;0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📖 Instrucciones</vt:lpstr>
      <vt:lpstr>✅ Registro</vt:lpstr>
      <vt:lpstr>⚙️ Aux</vt:lpstr>
      <vt:lpstr>📊 Estadísticas</vt:lpstr>
      <vt:lpstr>🎯 Panel</vt:lpstr>
      <vt:lpstr>📅 Agenda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Hábitat</dc:creator>
  <dc:title/>
  <dc:subject/>
  <dc:description/>
  <cp:keywords/>
  <cp:category/>
  <cp:lastModifiedBy>Unknown</cp:lastModifiedBy>
  <dcterms:created xsi:type="dcterms:W3CDTF">2026-10-28T01:46:05Z</dcterms:created>
  <dcterms:modified xsi:type="dcterms:W3CDTF">2026-10-28T01:46:05Z</dcterms:modified>
</cp:coreProperties>
</file>